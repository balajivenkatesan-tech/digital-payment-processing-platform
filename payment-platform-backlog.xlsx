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Backlog" sheetId="2" state="visible" r:id="rId4"/>
    <sheet name="Summary" sheetId="3" state="visible" r:id="rId5"/>
    <sheet name="Libraries" sheetId="4" state="visible" r:id="rId6"/>
    <sheet name="Per-Service Starters" sheetId="5" state="visible" r:id="rId7"/>
    <sheet name="Infra &amp; Tools" sheetId="6" state="visible" r:id="rId8"/>
  </sheets>
  <definedNames>
    <definedName function="false" hidden="true" localSheetId="1" name="_xlnm._FilterDatabase" vbProcedure="false">Backlog!$A$1:$N$34</definedName>
    <definedName function="false" hidden="true" localSheetId="3" name="_xlnm._FilterDatabase" vbProcedure="false">Libraries!$A$1:$I$53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<sst xmlns="http://schemas.openxmlformats.org/spreadsheetml/2006/main" count="1099" uniqueCount="707">
  <si>
    <t xml:space="preserve">FinTech Digital Payment Processing Platform - Product Backlog &amp; Tech Baseline</t>
  </si>
  <si>
    <t xml:space="preserve">How to use this workbook</t>
  </si>
  <si>
    <t xml:space="preserve">Backlog</t>
  </si>
  <si>
    <t xml:space="preserve">33 Jira-style user stories with acceptance criteria, architect notes, libraries/tools, priority, points, sprint and dependencies. Import into Jira Free / GitHub Projects or work directly from this sheet.</t>
  </si>
  <si>
    <t xml:space="preserve">Cells you edit</t>
  </si>
  <si>
    <t xml:space="preserve">Status (dropdown), Story Points and Sprint on the Backlog sheet. Yellow cells are the ones meant to be filled in as you progress; everything on Summary updates automatically.</t>
  </si>
  <si>
    <t xml:space="preserve">Libraries</t>
  </si>
  <si>
    <t xml:space="preserve">Every dependency with Maven coordinates, purpose, which services use it and the stories it supports. 'Avoid' rows list things you should deliberately NOT use, with reasons.</t>
  </si>
  <si>
    <t xml:space="preserve">Per-Service Starters</t>
  </si>
  <si>
    <t xml:space="preserve">What to tick on start.spring.io for each service, plus what to add manually. Use this when you generate each module.</t>
  </si>
  <si>
    <t xml:space="preserve">Infra &amp; Tools</t>
  </si>
  <si>
    <t xml:space="preserve">Everything you install or run locally (all free / open source) with images and suggested ports.</t>
  </si>
  <si>
    <t xml:space="preserve">Summary</t>
  </si>
  <si>
    <t xml:space="preserve">Story counts, points and % complete by epic, sprint and priority (formulas).</t>
  </si>
  <si>
    <t xml:space="preserve">Baseline technology decisions (all free)</t>
  </si>
  <si>
    <t xml:space="preserve">Java</t>
  </si>
  <si>
    <t xml:space="preserve">21 (LTS, Eclipse Temurin). Virtual threads are available for a performance talking point.</t>
  </si>
  <si>
    <t xml:space="preserve">Build</t>
  </si>
  <si>
    <t xml:space="preserve">Maven 3.9.x with the Maven Wrapper; one parent POM, one module per service.</t>
  </si>
  <si>
    <t xml:space="preserve">Spring Boot</t>
  </si>
  <si>
    <t xml:space="preserve">4.0.x - use the latest 4.0 patch offered by start.spring.io. Use the same minor version in every service.</t>
  </si>
  <si>
    <t xml:space="preserve">Spring Cloud</t>
  </si>
  <si>
    <t xml:space="preserve">2025.1.x (the release train for Boot 4.0). Only used for Gateway and CircuitBreaker.</t>
  </si>
  <si>
    <t xml:space="preserve">Data / messaging / auth</t>
  </si>
  <si>
    <t xml:space="preserve">PostgreSQL (one database per service), Apache Kafka in KRaft mode, Keycloak, Valkey (or Redis) for rate limiting.</t>
  </si>
  <si>
    <t xml:space="preserve">Observability</t>
  </si>
  <si>
    <t xml:space="preserve">Micrometer + Prometheus + Grafana, OpenTelemetry + Jaeger, Boot structured logging.</t>
  </si>
  <si>
    <t xml:space="preserve">Cost</t>
  </si>
  <si>
    <t xml:space="preserve">Nothing here needs a paid subscription. Docker Desktop is free for personal use; Rancher Desktop or Docker Engine are fully free alternatives.</t>
  </si>
  <si>
    <t xml:space="preserve">Spring Boot 4 differences to expect (tutorials online are often for Boot 3)</t>
  </si>
  <si>
    <t xml:space="preserve">Starters renamed</t>
  </si>
  <si>
    <t xml:space="preserve">spring-boot-starter-web is now spring-boot-starter-webmvc; OAuth2 starters are now spring-boot-starter-security-oauth2-*; spring-boot-starter-aop became spring-boot-starter-aspectj.</t>
  </si>
  <si>
    <t xml:space="preserve">New required starters</t>
  </si>
  <si>
    <t xml:space="preserve">Flyway needs spring-boot-starter-flyway and Kafka needs spring-boot-starter-kafka (the libraries alone are no longer enough). RestClient needs spring-boot-starter-restclient.</t>
  </si>
  <si>
    <t xml:space="preserve">Test changes</t>
  </si>
  <si>
    <t xml:space="preserve">Each starter has a -test companion. @MockBean/@SpyBean are removed (use @MockitoBean/@MockitoSpyBean). MockMvc in @SpringBootTest needs @AutoConfigureMockMvc.</t>
  </si>
  <si>
    <t xml:space="preserve">Jackson 3</t>
  </si>
  <si>
    <t xml:space="preserve">JSON classes moved to the tools.jackson packages (annotations stay in com.fasterxml.jackson.annotation).</t>
  </si>
  <si>
    <t xml:space="preserve">If something does not resolve</t>
  </si>
  <si>
    <t xml:space="preserve">Names in this workbook come from the official Boot 4.0 migration guide. If a dependency fails to resolve, generate a throw-away project on start.spring.io with the same selections and compare.</t>
  </si>
  <si>
    <t xml:space="preserve">Legend</t>
  </si>
  <si>
    <t xml:space="preserve">Priority</t>
  </si>
  <si>
    <t xml:space="preserve">Must = needed for a credible end-to-end demo. Should = strongly recommended. Could = nice to have.</t>
  </si>
  <si>
    <t xml:space="preserve">Status values</t>
  </si>
  <si>
    <t xml:space="preserve">Not Started, In Progress, In Review, Blocked, Done.</t>
  </si>
  <si>
    <t xml:space="preserve">Story points</t>
  </si>
  <si>
    <t xml:space="preserve">Relative sizes (1-13) assuming one developer. Re-estimate after Sprint 1 based on your real pace. Sprint 6 is the heaviest - split it into two if needed.</t>
  </si>
  <si>
    <t xml:space="preserve">Scope note</t>
  </si>
  <si>
    <t xml:space="preserve">This backlog defines WHAT to build and HOW at design level. The implementation is yours to write.</t>
  </si>
  <si>
    <t xml:space="preserve">Story ID</t>
  </si>
  <si>
    <t xml:space="preserve">Title</t>
  </si>
  <si>
    <t xml:space="preserve">Epic</t>
  </si>
  <si>
    <t xml:space="preserve">Service</t>
  </si>
  <si>
    <t xml:space="preserve">User Story</t>
  </si>
  <si>
    <t xml:space="preserve">Acceptance Criteria</t>
  </si>
  <si>
    <t xml:space="preserve">Architect Notes</t>
  </si>
  <si>
    <t xml:space="preserve">Libraries / Tools</t>
  </si>
  <si>
    <t xml:space="preserve">Story Points</t>
  </si>
  <si>
    <t xml:space="preserve">Sprint</t>
  </si>
  <si>
    <t xml:space="preserve">Depends On</t>
  </si>
  <si>
    <t xml:space="preserve">Status</t>
  </si>
  <si>
    <t xml:space="preserve">Interview Talking Point</t>
  </si>
  <si>
    <t xml:space="preserve">PAY-001</t>
  </si>
  <si>
    <t xml:space="preserve">Repo and build skeleton</t>
  </si>
  <si>
    <t xml:space="preserve">Epic 0: Foundation</t>
  </si>
  <si>
    <t xml:space="preserve">Platform (all)</t>
  </si>
  <si>
    <t xml:space="preserve">As a developer, I want a mono-repo with a parent build and one module per service, so that all services build consistently.</t>
  </si>
  <si>
    <t xml:space="preserve">1. Given a fresh clone, when I run one build command, then every module compiles and all tests pass.
2. Java version, plugin versions and dependency management are declared once in the parent POM.
3. common-lib contains only shared DTOs, the error model and correlation-ID utilities - no business logic.
4. Modules: api-gateway, payment-service, fraud-service, ledger-service, notification-service, settlement-service, bank-simulator, common-lib.</t>
  </si>
  <si>
    <t xml:space="preserve">Maven multi-module with the Maven Wrapper. Package by feature, not by layer. Keep common-lib tiny - shared code couples services. Generate each service skeleton from start.spring.io using the 'Per-Service Starters' sheet.</t>
  </si>
  <si>
    <t xml:space="preserve">JDK 21 (Temurin), Maven 3.9.x + wrapper, Spring Boot 4.0.x parent, Spring Cloud 2025.1.x BOM</t>
  </si>
  <si>
    <t xml:space="preserve">Must</t>
  </si>
  <si>
    <t xml:space="preserve">-</t>
  </si>
  <si>
    <t xml:space="preserve">Not Started</t>
  </si>
  <si>
    <t xml:space="preserve">Mono-repo vs poly-repo; what belongs in a shared library and what does not.</t>
  </si>
  <si>
    <t xml:space="preserve">PAY-002</t>
  </si>
  <si>
    <t xml:space="preserve">Local infrastructure with one command</t>
  </si>
  <si>
    <t xml:space="preserve">As a developer, I want Docker Compose to start all backing services, so that I can develop offline at zero cost.</t>
  </si>
  <si>
    <t xml:space="preserve">1. One command starts Postgres, Kafka, a Redis-compatible cache, Keycloak, Mailpit and the observability stack; all containers report healthy.
2. Each service gets its own database and DB user - services never read each other's tables.
3. Data survives a container restart (named volumes).
4. Compose profiles separate 'core' from 'observability' so a laptop is not overloaded.</t>
  </si>
  <si>
    <t xml:space="preserve">One Postgres container with one logical database + role per service (saves RAM, still enforces isolation). Kafka single node in KRaft mode (no Zookeeper). Use healthchecks with depends_on condition service_healthy. Keep secrets in a git-ignored .env file and commit .env.example.</t>
  </si>
  <si>
    <t xml:space="preserve">Docker Compose; images: postgres, apache/kafka, valkey/valkey, keycloak, mailpit, kafka-ui (see 'Infra &amp; Tools')</t>
  </si>
  <si>
    <t xml:space="preserve">Database-per-service; why Kafka KRaft; reproducible local environments.</t>
  </si>
  <si>
    <t xml:space="preserve">PAY-003</t>
  </si>
  <si>
    <t xml:space="preserve">Standard error and API contract</t>
  </si>
  <si>
    <t xml:space="preserve">common-lib</t>
  </si>
  <si>
    <t xml:space="preserve">As an API consumer, I want a consistent error format and versioned endpoints, so that failures are predictable.</t>
  </si>
  <si>
    <t xml:space="preserve">1. Every error response has a machine-readable code, a human message, a correlation ID and a UTC timestamp.
2. Validation errors list each invalid field with a reason.
3. All endpoints live under /api/v1.
4. An OpenAPI spec is generated for every service.</t>
  </si>
  <si>
    <t xml:space="preserve">Use RFC 9457 Problem Details (Spring's ProblemDetail) with extension fields (code, correlationId). One @RestControllerAdvice per service; shared base types in common-lib.</t>
  </si>
  <si>
    <t xml:space="preserve">spring-boot-starter-webmvc, spring-boot-starter-validation, springdoc-openapi-starter-webmvc-ui 3.0.x</t>
  </si>
  <si>
    <t xml:space="preserve">Consistent error handling across microservices; Problem Details standard.</t>
  </si>
  <si>
    <t xml:space="preserve">PAY-101</t>
  </si>
  <si>
    <t xml:space="preserve">Create a payment</t>
  </si>
  <si>
    <t xml:space="preserve">Epic 1: Payment Service</t>
  </si>
  <si>
    <t xml:space="preserve">payment-service</t>
  </si>
  <si>
    <t xml:space="preserve">As a merchant, I want to create a payment with amount, currency, customer reference and payment-method token, so that I can charge a customer.</t>
  </si>
  <si>
    <t xml:space="preserve">1. Given a valid request, when submitted, then a payment is created in CREATED and its ID is returned with HTTP 201.
2. Amount must be greater than zero and currency must be in the supported list (for example INR, USD, EUR); violations return 400 with field details.
3. Responses never contain raw payment-method data.
4. Payment IDs are non-sequential (UUID or ULID).</t>
  </si>
  <si>
    <t xml:space="preserve">Money = long minor units + ISO-4217 currency code; never float/double. The payment-method token is an opaque string from a fake tokenizer - you never store card numbers. Until PAY-701 lands, take merchantId from a request header; PAY-701 replaces it with a JWT claim. Flyway V1 creates the payments table and indexes.</t>
  </si>
  <si>
    <t xml:space="preserve">spring-boot-starter-webmvc, -validation, -data-jpa, postgresql, spring-boot-starter-flyway + flyway-database-postgresql; tests: spring-boot-starter-data-jpa-test, Testcontainers PostgreSQL</t>
  </si>
  <si>
    <t xml:space="preserve">PAY-002, PAY-003</t>
  </si>
  <si>
    <t xml:space="preserve">Why money is stored as integer minor units; why raw card data is never stored.</t>
  </si>
  <si>
    <t xml:space="preserve">PAY-102</t>
  </si>
  <si>
    <t xml:space="preserve">Idempotency</t>
  </si>
  <si>
    <t xml:space="preserve">As a merchant, I want retries with the same idempotency key to never double-charge, so that network retries are safe.</t>
  </si>
  <si>
    <t xml:space="preserve">1. Same Idempotency-Key + same body returns the original response and creates no second payment.
2. Same key + different body returns 422 Idempotency Conflict.
3. Two concurrent requests with the same key result in exactly one payment (proven by a test).
4. Keys expire after a configurable window (default 24 hours).
5. POST endpoints reject requests without the header (400).</t>
  </si>
  <si>
    <t xml:space="preserve">Insert-first pattern: INSERT the idempotency record (unique on merchant_id + key) before doing any work; on unique violation load the existing record and compare a hash of the request body. Store response snapshot + status (IN_PROGRESS / COMPLETED). Decide and document what a concurrent duplicate sees while the first is IN_PROGRESS (409, or wait briefly). The DB unique constraint is the source of truth - a Valkey/Redis cache may only be a fast path.</t>
  </si>
  <si>
    <t xml:space="preserve">spring-boot-starter-data-jpa, postgresql; tests: Testcontainers PostgreSQL, Awaitility (concurrency test)</t>
  </si>
  <si>
    <t xml:space="preserve">'How do you prevent double charges?' - the classic payments interview question.</t>
  </si>
  <si>
    <t xml:space="preserve">PAY-103</t>
  </si>
  <si>
    <t xml:space="preserve">Payment state machine</t>
  </si>
  <si>
    <t xml:space="preserve">As the platform, I want a strict payment lifecycle, so that money movement is always in a valid state.</t>
  </si>
  <si>
    <t xml:space="preserve">1. States: CREATED, PENDING_FRAUD_CHECK, IN_REVIEW, AUTHORIZING, AUTHORIZATION_UNKNOWN, AUTHORIZED, DECLINED, FAILED, CAPTURED, EXPIRED, SETTLED, PARTIALLY_REFUNDED, REFUNDED.
2. Invalid transitions (for example FAILED -&gt; CAPTURED) are rejected with a clear error and change nothing.
3. Every transition is written to an append-only history table with timestamp, actor and reason.
4. Concurrent updates to the same payment are detected (optimistic locking): one wins, the other gets 409.</t>
  </si>
  <si>
    <t xml:space="preserve">Enum + explicit transition table (Map&lt;State, Set&lt;State&gt;&gt;) inside the domain class. Deliberately NOT Spring Statemachine: a hand-written table is easier to reason about, test and explain. JPA @Version for optimistic locking. Draw the state diagram in the README (Mermaid).</t>
  </si>
  <si>
    <t xml:space="preserve">spring-boot-starter-data-jpa (@Version); JUnit 5 parameterised tests</t>
  </si>
  <si>
    <t xml:space="preserve">State machines in payments; optimistic vs pessimistic locking.</t>
  </si>
  <si>
    <t xml:space="preserve">PAY-104</t>
  </si>
  <si>
    <t xml:space="preserve">Authorize and capture</t>
  </si>
  <si>
    <t xml:space="preserve">As a merchant, I want to authorize first and capture later, so that I charge only when goods ship.</t>
  </si>
  <si>
    <t xml:space="preserve">1. Authorize calls the bank (through the PAY-202 client) and moves the payment to AUTHORIZED, DECLINED or FAILED.
2. Capture is allowed only from AUTHORIZED and only once; captured amount cannot exceed the authorized amount.
3. An authorization not captured within N days moves to EXPIRED through a scheduled job.
4. The expiry job is safe when two instances run (each payment is processed by only one).</t>
  </si>
  <si>
    <t xml:space="preserve">Single full capture only - partial capture is out of scope (write that down as a decision). Expiry job: @Scheduled + row locking (SELECT ... FOR UPDATE SKIP LOCKED) or a Postgres advisory lock - no extra library required.</t>
  </si>
  <si>
    <t xml:space="preserve">Spring @Scheduled (built-in), spring-boot-starter-data-jpa</t>
  </si>
  <si>
    <t xml:space="preserve">PAY-103, PAY-201</t>
  </si>
  <si>
    <t xml:space="preserve">Authorization vs capture in card payments; safe scheduled jobs in multi-instance deployments.</t>
  </si>
  <si>
    <t xml:space="preserve">PAY-105</t>
  </si>
  <si>
    <t xml:space="preserve">Query payments</t>
  </si>
  <si>
    <t xml:space="preserve">As a merchant, I want to fetch a payment and list my payments with filters, so that I can track them.</t>
  </si>
  <si>
    <t xml:space="preserve">1. GET by ID returns status, amounts and transition history.
2. The list endpoint supports filters (status, date range) with cursor pagination and stable sorting.
3. A merchant sees only its own payments; other merchants' IDs return 404.</t>
  </si>
  <si>
    <t xml:space="preserve">Cursor (keyset) pagination on (created_at, id) instead of OFFSET - stays fast on large tables. Composite index on (merchant_id, status, created_at). Use the merchantId header until PAY-701.</t>
  </si>
  <si>
    <t xml:space="preserve">spring-boot-starter-webmvc, spring-boot-starter-data-jpa</t>
  </si>
  <si>
    <t xml:space="preserve">PAY-101, PAY-103</t>
  </si>
  <si>
    <t xml:space="preserve">Keyset vs offset pagination.</t>
  </si>
  <si>
    <t xml:space="preserve">PAY-201</t>
  </si>
  <si>
    <t xml:space="preserve">Bank simulator</t>
  </si>
  <si>
    <t xml:space="preserve">Epic 2: Bank Simulator &amp; Resilience</t>
  </si>
  <si>
    <t xml:space="preserve">bank-simulator</t>
  </si>
  <si>
    <t xml:space="preserve">As a developer, I want a fake acquiring bank with configurable behaviour, so that I can test failure modes deterministically and for free.</t>
  </si>
  <si>
    <t xml:space="preserve">1. Endpoints for authorize, capture, refund and status-by-reference mimic a bank.
2. Behaviour is controllable: approve, decline, slow response, timeout, random 5xx - through special amounts and an admin config endpoint.
3. The simulator honours an idempotency reference so repeated calls return the same result.
4. It can produce a daily settlement CSV (consumed by PAY-802).</t>
  </si>
  <si>
    <t xml:space="preserve">Separate deployable with in-memory state. Document a 'magic amounts' convention (for example amounts ending in 01 = decline, 02 = timeout, 03 = HTTP 500). Treat it as a real external dependency: payment-service must never import its code.</t>
  </si>
  <si>
    <t xml:space="preserve">spring-boot-starter-webmvc, -validation, -actuator</t>
  </si>
  <si>
    <t xml:space="preserve">PAY-001, PAY-003</t>
  </si>
  <si>
    <t xml:space="preserve">How I tested failure scenarios without a paid bank sandbox.</t>
  </si>
  <si>
    <t xml:space="preserve">PAY-202</t>
  </si>
  <si>
    <t xml:space="preserve">Resilient bank integration</t>
  </si>
  <si>
    <t xml:space="preserve">As the platform, I want bank calls to survive failures, so that one bad dependency does not take us down.</t>
  </si>
  <si>
    <t xml:space="preserve">1. Explicit connect and read timeouts on every bank call.
2. Retries with exponential backoff and jitter, only in safe (idempotent) cases.
3. A circuit breaker opens after a failure-rate threshold and fails fast; a half-open probe recovers.
4. A concurrency limit (bulkhead) caps parallel bank calls.
5. Each behaviour is proven against the simulator or a stubbed server.</t>
  </si>
  <si>
    <t xml:space="preserve">Wrap RestClient behind a BankGateway interface (port/adapter). Circuit breaker + bulkhead via Spring Cloud CircuitBreaker (Resilience4j); retry via Spring Framework 7's built-in retry support. Be ready to explain why retrying a non-idempotent call is dangerous and how the bank idempotency reference fixes it.</t>
  </si>
  <si>
    <t xml:space="preserve">spring-boot-starter-restclient, spring-cloud-starter-circuitbreaker-resilience4j; tests: WireMock</t>
  </si>
  <si>
    <t xml:space="preserve">PAY-201, PAY-103</t>
  </si>
  <si>
    <t xml:space="preserve">Timeouts, retries, circuit breakers and bulkheads - and how they interact.</t>
  </si>
  <si>
    <t xml:space="preserve">PAY-203</t>
  </si>
  <si>
    <t xml:space="preserve">Unknown-outcome handling</t>
  </si>
  <si>
    <t xml:space="preserve">As the platform, I want to handle 'the bank timed out - did the charge happen?', so that we neither lose nor double-charge money.</t>
  </si>
  <si>
    <t xml:space="preserve">1. On a bank timeout the payment moves to AUTHORIZATION_UNKNOWN - never straight to FAILED.
2. A recovery job asks the bank for the real status using the idempotency reference and resolves the payment.
3. After N unsuccessful attempts the payment is flagged for manual review and an alert metric increments.
4. No scenario results in a double charge or a lost authorization.</t>
  </si>
  <si>
    <t xml:space="preserve">This is the hardest realistic problem in payments. The recovery job uses the same locking approach as PAY-104, with backoff between polls and an attempts table.</t>
  </si>
  <si>
    <t xml:space="preserve">Spring @Scheduled; tests: Awaitility + simulator timeout mode</t>
  </si>
  <si>
    <t xml:space="preserve">Handling the 'unknown' state; why a timeout must not simply be marked failed.</t>
  </si>
  <si>
    <t xml:space="preserve">PAY-301</t>
  </si>
  <si>
    <t xml:space="preserve">Transactional outbox</t>
  </si>
  <si>
    <t xml:space="preserve">Epic 3: Event-Driven Backbone</t>
  </si>
  <si>
    <t xml:space="preserve">As the platform, I want state changes and event publishing to be atomic, so that we never save a payment without emitting its event.</t>
  </si>
  <si>
    <t xml:space="preserve">1. The payment update and its outbox row are written in the same DB transaction.
2. A relay publishes outbox rows to Kafka and marks them published; unpublished rows survive restarts.
3. If Kafka is down, events are published after it returns and none are lost.
4. Two relay instances never publish the same row twice (or duplicates are harmless because of PAY-303).</t>
  </si>
  <si>
    <t xml:space="preserve">Outbox table: id, aggregate_id, event_type, payload (JSON), created_at, published_at. Relay = scheduled poller using SELECT ... FOR UPDATE SKIP LOCKED in small batches. Producer: acks=all + idempotence enabled. Debezium CDC is a valid free stretch goal - be able to explain it. Delivery is at-least-once, so consumers must be idempotent.</t>
  </si>
  <si>
    <t xml:space="preserve">spring-boot-starter-kafka, spring-boot-starter-data-jpa; tests: Testcontainers Kafka; Kafka UI to inspect topics</t>
  </si>
  <si>
    <t xml:space="preserve">PAY-103, PAY-002</t>
  </si>
  <si>
    <t xml:space="preserve">The dual-write problem and the transactional outbox pattern.</t>
  </si>
  <si>
    <t xml:space="preserve">PAY-302</t>
  </si>
  <si>
    <t xml:space="preserve">Event contracts</t>
  </si>
  <si>
    <t xml:space="preserve">As a consumer, I want versioned event schemas, so that producer changes do not break my service.</t>
  </si>
  <si>
    <t xml:space="preserve">1. Events: PaymentCreated, PaymentAuthorized, PaymentDeclined, PaymentFailed, PaymentCaptured, PaymentRefunded, PaymentSettled.
2. Every event carries eventId, eventType, schemaVersion, paymentId, occurredAt (UTC) and a correlation ID.
3. Kafka key = paymentId so events of one payment stay ordered.
4. Topic naming and an event catalog are documented in the repo (docs/events.md).</t>
  </si>
  <si>
    <t xml:space="preserve">JSON with an explicit schemaVersion and additive-only changes (backward compatible). Topic example: payments.events.v1. Avro + a schema registry is an optional stretch. Keep event classes in common-lib as plain records. Note: Boot 4 uses Jackson 3 (tools.jackson packages).</t>
  </si>
  <si>
    <t xml:space="preserve">spring-boot-starter-jackson (included transitively), spring-boot-starter-kafka</t>
  </si>
  <si>
    <t xml:space="preserve">Event versioning and backward compatibility; partition keys and ordering.</t>
  </si>
  <si>
    <t xml:space="preserve">PAY-303</t>
  </si>
  <si>
    <t xml:space="preserve">Idempotent consumers, retries and DLQ</t>
  </si>
  <si>
    <t xml:space="preserve">All consumers</t>
  </si>
  <si>
    <t xml:space="preserve">As a consumer service, I want duplicate and poison messages handled safely, so that Kafka's at-least-once delivery does not corrupt data.</t>
  </si>
  <si>
    <t xml:space="preserve">1. Re-delivering the same eventId produces no duplicate effect.
2. Failed messages are retried with backoff, then published to a dead-letter topic.
3. A poison message never blocks a partition forever.
4. A documented and tested procedure exists to replay DLQ messages.</t>
  </si>
  <si>
    <t xml:space="preserve">processed_events table (event_id unique) written in the same transaction as the business effect. Start with Spring Kafka's DefaultErrorHandler + ExponentialBackOff + DeadLetterPublishingRecoverer (blocking retries); non-blocking @RetryableTopic is a follow-up worth knowing. Distinguish retryable (DB timeout) from non-retryable (bad payload) exceptions.</t>
  </si>
  <si>
    <t xml:space="preserve">spring-boot-starter-kafka; tests: Testcontainers Kafka; Kafka UI</t>
  </si>
  <si>
    <t xml:space="preserve">PAY-301, PAY-302</t>
  </si>
  <si>
    <t xml:space="preserve">At-least-once delivery vs exactly-once effect; dead-letter handling.</t>
  </si>
  <si>
    <t xml:space="preserve">PAY-401</t>
  </si>
  <si>
    <t xml:space="preserve">Rule-based risk scoring</t>
  </si>
  <si>
    <t xml:space="preserve">Epic 4: Fraud Service</t>
  </si>
  <si>
    <t xml:space="preserve">fraud-service</t>
  </si>
  <si>
    <t xml:space="preserve">As a risk analyst, I want payments scored against rules, so that suspicious ones are blocked.</t>
  </si>
  <si>
    <t xml:space="preserve">1. POST /api/v1/risk-assessments returns APPROVE, REVIEW or REJECT plus the names of triggered rules.
2. Rules: amount above a threshold; more than N payments per customer within M minutes; customer on a blocklist.
3. Thresholds are configuration, not hard-coded.
4. Every assessment is stored for audit.</t>
  </si>
  <si>
    <t xml:space="preserve">Each rule implements a small Rule interface (Strategy pattern) and returns a score; the decision compares the total to thresholds. Velocity = count query on the service's own assessments table in a time window; Valkey/Redis counters are an optional upgrade. Skip rules engines (Drools) - overkill. payment-service calls fraud-service synchronously because the decision is needed before authorization - document why.</t>
  </si>
  <si>
    <t xml:space="preserve">spring-boot-starter-webmvc, -data-jpa, postgresql, spring-boot-starter-flyway; optional spring-boot-starter-data-redis</t>
  </si>
  <si>
    <t xml:space="preserve">Strategy pattern; synchronous vs asynchronous fraud checks.</t>
  </si>
  <si>
    <t xml:space="preserve">PAY-402</t>
  </si>
  <si>
    <t xml:space="preserve">Fraud check inside the payment flow</t>
  </si>
  <si>
    <t xml:space="preserve">As the platform, I want fraud results to drive the payment state, so that risky payments never reach the bank.</t>
  </si>
  <si>
    <t xml:space="preserve">1. A new payment moves CREATED -&gt; PENDING_FRAUD_CHECK and calls fraud-service before any bank call.
2. REJECT moves the payment to DECLINED and the bank is never called.
3. REVIEW moves it to IN_REVIEW until an admin approves or rejects it through an admin API.
4. If fraud-service is down or slow, behaviour follows a documented policy (fail-open vs fail-closed) and is covered by tests.</t>
  </si>
  <si>
    <t xml:space="preserve">Reuse the timeout and circuit breaker setup from PAY-202. A sensible default: fail-closed for high amounts, fail-open (flagged 'unscreened') for low amounts - your call, but record it in an ADR. Service-to-service authentication arrives with PAY-701.</t>
  </si>
  <si>
    <t xml:space="preserve">PAY-401, PAY-202, PAY-103</t>
  </si>
  <si>
    <t xml:space="preserve">Fail-open vs fail-closed trade-off.</t>
  </si>
  <si>
    <t xml:space="preserve">PAY-501</t>
  </si>
  <si>
    <t xml:space="preserve">Double-entry ledger</t>
  </si>
  <si>
    <t xml:space="preserve">Epic 5: Ledger Service</t>
  </si>
  <si>
    <t xml:space="preserve">ledger-service</t>
  </si>
  <si>
    <t xml:space="preserve">As finance, I want every money movement recorded as balanced debit and credit entries, so that the books always reconcile.</t>
  </si>
  <si>
    <t xml:space="preserve">1. PaymentCaptured creates a ledger transaction with balanced entries (total debits = total credits).
2. Balance is enforced in code and verified at the database level (deferred constraint trigger or an integrity query in tests).
3. Entries are immutable: corrections are reversing entries, and the application DB role has no UPDATE/DELETE on the entries table.
4. Accounts: CUSTOMER_FUNDS, MERCHANT_PAYABLE, PLATFORM_FEE_REVENUE, BANK_CLEARING.
5. Replaying the same event creates no second ledger transaction.</t>
  </si>
  <si>
    <t xml:space="preserve">Tables: accounts, ledger_transactions, ledger_entries (transaction_id, account_id, direction, amount_minor, currency). Reuse the idempotent-consumer pattern from PAY-303. Write example journal entries for capture, fee and refund in docs/ledger.md.</t>
  </si>
  <si>
    <t xml:space="preserve">spring-boot-starter-kafka, -data-jpa, postgresql, spring-boot-starter-flyway; tests: Testcontainers</t>
  </si>
  <si>
    <t xml:space="preserve">Double-entry bookkeeping; immutability and audit trails.</t>
  </si>
  <si>
    <t xml:space="preserve">PAY-502</t>
  </si>
  <si>
    <t xml:space="preserve">Fees and merchant balance</t>
  </si>
  <si>
    <t xml:space="preserve">As a merchant, I want to see my balance after platform fees, so that I know what I will receive.</t>
  </si>
  <si>
    <t xml:space="preserve">1. A platform fee (for example 2% + a fixed amount) is computed with documented rounding rules and posted as ledger entries.
2. GET merchant balance returns the available amount derived from ledger entries.
3. Balance is never stored as a mutable counter.
4. Unit tests cover rounding edge cases (tiny amounts, odd minor units).</t>
  </si>
  <si>
    <t xml:space="preserve">Use BigDecimal only inside the fee calculation, round with an explicit RoundingMode, then convert back to long minor units. Balance = SUM over entries per account; snapshots are a later optimisation.</t>
  </si>
  <si>
    <t xml:space="preserve">JDK BigDecimal (built-in), spring-boot-starter-data-jpa</t>
  </si>
  <si>
    <t xml:space="preserve">Money rounding and why floating point is banned.</t>
  </si>
  <si>
    <t xml:space="preserve">PAY-503</t>
  </si>
  <si>
    <t xml:space="preserve">Refunds</t>
  </si>
  <si>
    <t xml:space="preserve">payment-service, ledger-service</t>
  </si>
  <si>
    <t xml:space="preserve">As a merchant, I want full and partial refunds, so that I can return money to customers.</t>
  </si>
  <si>
    <t xml:space="preserve">1. The refund endpoint (full or partial) is idempotent.
2. Total refunded can never exceed the captured amount, even with concurrent refund requests.
3. The payment moves to PARTIALLY_REFUNDED or REFUNDED and PaymentRefunded is published through the outbox.
4. The ledger posts reversing entries, with fee treatment as documented.</t>
  </si>
  <si>
    <t xml:space="preserve">Refund API and state live in payment-service; ledger-service reacts to the event. Concurrency guard: one atomic conditional UPDATE (refunded_total + :amount &lt;= captured_amount) or a pessimistic row lock - pick one and be ready to justify it. The bank refund call reuses the PAY-202 client.</t>
  </si>
  <si>
    <t xml:space="preserve">spring-boot-starter-data-jpa, spring-boot-starter-kafka; tests: Testcontainers, Awaitility</t>
  </si>
  <si>
    <t xml:space="preserve">PAY-501, PAY-102, PAY-301</t>
  </si>
  <si>
    <t xml:space="preserve">Preventing over-refunds under concurrency.</t>
  </si>
  <si>
    <t xml:space="preserve">PAY-601</t>
  </si>
  <si>
    <t xml:space="preserve">Merchant webhooks</t>
  </si>
  <si>
    <t xml:space="preserve">Epic 6: Notifications &amp; Webhooks</t>
  </si>
  <si>
    <t xml:space="preserve">notification-service</t>
  </si>
  <si>
    <t xml:space="preserve">As a merchant, I want a callback when a payment status changes, so that my system stays in sync.</t>
  </si>
  <si>
    <t xml:space="preserve">1. A merchant registers a webhook URL and secret.
2. Each POST carries an HMAC-SHA256 signature header and a timestamp so the receiver can verify authenticity and reject replays.
3. Failed deliveries retry on a schedule (for example 1m, 5m, 30m, 2h, 24h) and then are marked FAILED.
4. A delivery log records every attempt with response code and duration.
5. Webhook URLs pointing to private or internal addresses are rejected.</t>
  </si>
  <si>
    <t xml:space="preserve">HMAC via the JDK (javax.crypto) - no library needed. SSRF protection in URL validation (block localhost, private ranges, link-local). Retry scheduler is DB-driven (next_attempt_at) so it survives restarts. Incoming events are consumed idempotently (PAY-303).</t>
  </si>
  <si>
    <t xml:space="preserve">spring-boot-starter-restclient, spring-boot-starter-kafka, spring-boot-starter-data-jpa; tests: WireMock</t>
  </si>
  <si>
    <t xml:space="preserve">Webhook security and reliability: signing, retries, SSRF.</t>
  </si>
  <si>
    <t xml:space="preserve">PAY-602</t>
  </si>
  <si>
    <t xml:space="preserve">Customer notifications</t>
  </si>
  <si>
    <t xml:space="preserve">As a customer, I want a confirmation when my payment succeeds or fails, so that I know its outcome.</t>
  </si>
  <si>
    <t xml:space="preserve">1. Templates exist for payment success, failure and refund.
2. Emails are sent to a local mail catcher (Mailpit) and visible in its web UI.
3. Duplicate events do not send duplicate emails.</t>
  </si>
  <si>
    <t xml:space="preserve">Thymeleaf templates. A notification-log table keyed by (eventId, channel) provides idempotency.</t>
  </si>
  <si>
    <t xml:space="preserve">spring-boot-starter-mail, spring-boot-starter-thymeleaf; Mailpit (Docker)</t>
  </si>
  <si>
    <t xml:space="preserve">Could</t>
  </si>
  <si>
    <t xml:space="preserve">Idempotent side effects.</t>
  </si>
  <si>
    <t xml:space="preserve">PAY-701</t>
  </si>
  <si>
    <t xml:space="preserve">Authentication and authorization</t>
  </si>
  <si>
    <t xml:space="preserve">Epic 7: Security</t>
  </si>
  <si>
    <t xml:space="preserve">api-gateway + all services</t>
  </si>
  <si>
    <t xml:space="preserve">As the platform, I want OAuth2 with JWT through Keycloak, so that only authorized users and services call our APIs.</t>
  </si>
  <si>
    <t xml:space="preserve">1. A Keycloak realm with roles MERCHANT, ADMIN and SERVICE is exported as JSON and checked into the repo (reproducible).
2. The gateway validates JWTs and each service validates them again (defence in depth).
3. Endpoints are protected by role (for example only ADMIN can approve IN_REVIEW payments).
4. Service-to-service calls use client-credentials tokens.
5. merchantId comes from a JWT claim - never from the request body or header (replaces the temporary header from PAY-101/105).</t>
  </si>
  <si>
    <t xml:space="preserve">Use the standard Spring Security OAuth2 Resource Server - do NOT use the deprecated Keycloak adapters. Map realm roles to authorities with a custom converter. Method security (@PreAuthorize). Keep token lifetimes short and document them.</t>
  </si>
  <si>
    <t xml:space="preserve">spring-boot-starter-security-oauth2-resource-server, spring-boot-starter-security-oauth2-client; tests: spring-boot-starter-security-test; Keycloak (Docker)</t>
  </si>
  <si>
    <t xml:space="preserve">PAY-002, PAY-105, PAY-402</t>
  </si>
  <si>
    <t xml:space="preserve">OAuth2 authorization-code vs client-credentials; JWT validation.</t>
  </si>
  <si>
    <t xml:space="preserve">PAY-702</t>
  </si>
  <si>
    <t xml:space="preserve">Merchant data isolation</t>
  </si>
  <si>
    <t xml:space="preserve">All services</t>
  </si>
  <si>
    <t xml:space="preserve">As a merchant, I must never see or change another merchant's data.</t>
  </si>
  <si>
    <t xml:space="preserve">1. Automated tests prove merchant A cannot read, list, capture or refund merchant B's payments.
2. Cross-merchant access returns 404 (not 403) so existence is not leaked.
3. Every repository query on merchant data is scoped by merchantId.</t>
  </si>
  <si>
    <t xml:space="preserve">Consider a shared 'merchant-scoped' repository pattern. An ArchUnit test that fails when a merchant-data repository method lacks a merchantId parameter is a nice optional extra.</t>
  </si>
  <si>
    <t xml:space="preserve">spring-boot-starter-security-test, spring-boot-starter-webmvc-test; optional ArchUnit</t>
  </si>
  <si>
    <t xml:space="preserve">Multi-tenancy and IDOR vulnerabilities.</t>
  </si>
  <si>
    <t xml:space="preserve">PAY-703</t>
  </si>
  <si>
    <t xml:space="preserve">Rate limiting and audit log</t>
  </si>
  <si>
    <t xml:space="preserve">As the platform, I want abuse protection and traceability, so that we can limit damage and answer 'who did what'.</t>
  </si>
  <si>
    <t xml:space="preserve">1. The gateway returns 429 after N requests per merchant per minute (token bucket).
2. Admin and money-moving actions are written to an append-only audit log (who, what, when, correlation ID).
3. Audit records never contain payment-method tokens or personal data in clear text.</t>
  </si>
  <si>
    <t xml:space="preserve">Spring Cloud Gateway's RequestRateLimiter filter backed by Valkey/Redis; key resolver = merchantId from the JWT. Audit storage: a table per service or an audit.events Kafka topic - choose one and record it in an ADR.</t>
  </si>
  <si>
    <t xml:space="preserve">spring-cloud-starter-gateway-server-webflux, spring-boot-starter-data-redis-reactive</t>
  </si>
  <si>
    <t xml:space="preserve">Should</t>
  </si>
  <si>
    <t xml:space="preserve">Rate-limiting algorithms; audit logging in regulated domains.</t>
  </si>
  <si>
    <t xml:space="preserve">PAY-801</t>
  </si>
  <si>
    <t xml:space="preserve">Daily settlement batch</t>
  </si>
  <si>
    <t xml:space="preserve">Epic 8: Settlement &amp; Reconciliation</t>
  </si>
  <si>
    <t xml:space="preserve">settlement-service</t>
  </si>
  <si>
    <t xml:space="preserve">As finance, I want captured payments grouped into merchant payouts, so that merchants get paid.</t>
  </si>
  <si>
    <t xml:space="preserve">1. A scheduled daily job creates one settlement per merchant per day for captured minus refunded minus fees.
2. Re-running the job for the same day creates no duplicates.
3. After payout, payments move to SETTLED (via an event back to payment-service).
4. The job is safe with multiple instances.</t>
  </si>
  <si>
    <t xml:space="preserve">settlement-service builds its own read model from PaymentCaptured / PaymentRefunded events - no cross-database queries. A unique constraint on (merchant_id, settlement_date) provides idempotency. Cluster-safe scheduling via a Postgres advisory lock or FOR UPDATE SKIP LOCKED. Spring Batch is an optional stretch.</t>
  </si>
  <si>
    <t xml:space="preserve">spring-boot-starter-kafka, spring-boot-starter-data-jpa, Spring @Scheduled; optional spring-boot-starter-batch-jdbc</t>
  </si>
  <si>
    <t xml:space="preserve">PAY-502, PAY-303</t>
  </si>
  <si>
    <t xml:space="preserve">Batch idempotency; read models fed by events.</t>
  </si>
  <si>
    <t xml:space="preserve">PAY-802</t>
  </si>
  <si>
    <t xml:space="preserve">Reconciliation</t>
  </si>
  <si>
    <t xml:space="preserve">As finance, I want the bank's settlement file compared against our ledger, so that discrepancies are caught.</t>
  </si>
  <si>
    <t xml:space="preserve">1. The bank simulator's daily CSV is imported.
2. The report lists MATCHED, MISSING_IN_BANK, MISSING_IN_LEDGER and AMOUNT_MISMATCH records.
3. Any mismatch publishes a ReconciliationMismatchDetected event and increments a metric.
4. Re-importing the same file is harmless.</t>
  </si>
  <si>
    <t xml:space="preserve">Match on bank reference + amount + currency. Stream-parse the file instead of loading it fully into memory. Store an import batch ID + file hash for idempotency.</t>
  </si>
  <si>
    <t xml:space="preserve">org.apache.commons:commons-csv, spring-boot-starter-data-jpa</t>
  </si>
  <si>
    <t xml:space="preserve">PAY-801, PAY-201, PAY-501</t>
  </si>
  <si>
    <t xml:space="preserve">Why reconciliation exists and how money discrepancies are found.</t>
  </si>
  <si>
    <t xml:space="preserve">PAY-901</t>
  </si>
  <si>
    <t xml:space="preserve">Tracing and correlation</t>
  </si>
  <si>
    <t xml:space="preserve">Epic 9: Observability</t>
  </si>
  <si>
    <t xml:space="preserve">As an engineer, I want to follow one payment across all services, so that I can debug production issues quickly.</t>
  </si>
  <si>
    <t xml:space="preserve">1. A trace/correlation ID is created at the gateway and appears in every log line.
2. It propagates over HTTP and Kafka headers.
3. One Jaeger trace shows the path gateway -&gt; payment -&gt; fraud -&gt; bank and the asynchronous consumers.
4. Structured (JSON) logging is enabled.</t>
  </si>
  <si>
    <t xml:space="preserve">Use Micrometer Tracing / OpenTelemetry (Sleuth is discontinued). Enable Kafka producer/consumer observation so trace context travels in message headers. Use Boot's built-in structured logging - no logstash encoder library needed. A minimal correlation-ID log pattern is expected from Sprint 1 (Definition of Done); full tracing lands here.</t>
  </si>
  <si>
    <t xml:space="preserve">spring-boot-starter-opentelemetry, spring-boot-starter-actuator; Jaeger (Docker)</t>
  </si>
  <si>
    <t xml:space="preserve">PAY-303, PAY-002</t>
  </si>
  <si>
    <t xml:space="preserve">Observability pillars: logs, metrics, traces.</t>
  </si>
  <si>
    <t xml:space="preserve">PAY-902</t>
  </si>
  <si>
    <t xml:space="preserve">Metrics and dashboards</t>
  </si>
  <si>
    <t xml:space="preserve">As an operator, I want dashboards and alerts, so that I notice problems before merchants do.</t>
  </si>
  <si>
    <t xml:space="preserve">1. Grafana shows payment success rate, latency p95/p99, Kafka consumer lag, circuit-breaker state, DLQ depth and outbox backlog.
2. Custom business metrics: payments by status, fraud decisions, reconciliation mismatches.
3. Alert rules fire for success rate below X% and for growing DLQ depth.
4. Dashboards are provisioned from files in the repo.</t>
  </si>
  <si>
    <t xml:space="preserve">Micrometer counters/timers/gauges; expose /actuator/prometheus; Prometheus scrapes; Grafana provisioning via JSON files. Use the RED method (Rate, Errors, Duration) per service.</t>
  </si>
  <si>
    <t xml:space="preserve">spring-boot-starter-micrometer-metrics, micrometer-registry-prometheus; Prometheus, Grafana (Docker)</t>
  </si>
  <si>
    <t xml:space="preserve">RED/USE methods; what you alert on and why.</t>
  </si>
  <si>
    <t xml:space="preserve">PAY-1001</t>
  </si>
  <si>
    <t xml:space="preserve">Concurrency and failure test suite</t>
  </si>
  <si>
    <t xml:space="preserve">Epic 10: Quality, Deployment &amp; Packaging</t>
  </si>
  <si>
    <t xml:space="preserve">As the team, I want proof that the hard cases work, so that I can trust the money paths.</t>
  </si>
  <si>
    <t xml:space="preserve">1. Tests cover: parallel duplicate payment requests, concurrent refunds, Kafka unavailable during a payment, bank timeout, consumer crash mid-message, duplicate event delivery.
2. Tests run against real Postgres and Kafka through Testcontainers.
3. No test relies on Thread.sleep - use Awaitility.</t>
  </si>
  <si>
    <t xml:space="preserve">Separate fast unit tests from *IT integration tests (Failsafe plugin). Network faults via Toxiproxy are optional. Keep one shared Testcontainers base configuration.</t>
  </si>
  <si>
    <t xml:space="preserve">spring-boot-testcontainers, testcontainers-postgresql, testcontainers-kafka, testcontainers-junit-jupiter, Awaitility, WireMock, maven-failsafe-plugin; optional testcontainers-toxiproxy</t>
  </si>
  <si>
    <t xml:space="preserve">PAY-303, PAY-203, PAY-503</t>
  </si>
  <si>
    <t xml:space="preserve">How I test concurrency and failure - not just the happy path.</t>
  </si>
  <si>
    <t xml:space="preserve">PAY-1002</t>
  </si>
  <si>
    <t xml:space="preserve">Load test</t>
  </si>
  <si>
    <t xml:space="preserve">As the team, I want a baseline performance number, so that I can talk about capacity with evidence.</t>
  </si>
  <si>
    <t xml:space="preserve">1. A k6 script runs a mixed workload (create, authorize, capture, query, refund).
2. The README records throughput and p95 latency with hardware and settings noted.
3. One run includes bank-simulator failures to show circuit-breaker behaviour.</t>
  </si>
  <si>
    <t xml:space="preserve">Run against the Compose setup. Establish a baseline, change one thing (for example virtual threads or connection-pool size) and record the difference - excellent interview material.</t>
  </si>
  <si>
    <t xml:space="preserve">k6 (grafana/k6 Docker image); Grafana dashboards from PAY-902</t>
  </si>
  <si>
    <t xml:space="preserve">PAY-1001, PAY-902</t>
  </si>
  <si>
    <t xml:space="preserve">Reading load-test results; finding bottlenecks.</t>
  </si>
  <si>
    <t xml:space="preserve">PAY-1003</t>
  </si>
  <si>
    <t xml:space="preserve">CI pipeline</t>
  </si>
  <si>
    <t xml:space="preserve">As a developer, I want every push built and tested automatically, so that regressions are caught early.</t>
  </si>
  <si>
    <t xml:space="preserve">1. GitHub Actions builds and runs unit + integration tests on every push and pull request.
2. Failing tests fail the build.
3. Dependency vulnerability alerts are enabled (Dependabot).
4. The Maven dependency cache is used to keep builds fast.</t>
  </si>
  <si>
    <t xml:space="preserve">Testcontainers works on GitHub-hosted Ubuntu runners (Docker is preinstalled). A public repo gets free CI minutes and doubles as your portfolio. Pull this story forward if you want CI from day one.</t>
  </si>
  <si>
    <t xml:space="preserve">GitHub Actions (actions/checkout, actions/setup-java with Temurin 21), Dependabot</t>
  </si>
  <si>
    <t xml:space="preserve">CI/CD basics; testing with containers in CI.</t>
  </si>
  <si>
    <t xml:space="preserve">PAY-1004</t>
  </si>
  <si>
    <t xml:space="preserve">Containers and Kubernetes</t>
  </si>
  <si>
    <t xml:space="preserve">As an operator, I want to deploy on Kubernetes locally, so that I can show real deployment skills.</t>
  </si>
  <si>
    <t xml:space="preserve">1. Each service has a multi-stage Dockerfile producing a small image that runs as non-root.
2. The platform deploys to a local Kind cluster with Deployment, Service, ConfigMap and Secret manifests.
3. Liveness/readiness probes use actuator health groups; resource requests and limits are set.
4. A rolling update and a rollback are demonstrated once.</t>
  </si>
  <si>
    <t xml:space="preserve">Use a layered JAR for fast rebuilds. Plain YAML or Kustomize (built into kubectl) - skip Helm at first. Run Postgres/Kafka as simple StatefulSets, or keep them in Compose and point the cluster at them. Avoid Bitnami charts (their free catalog changed in 2025).</t>
  </si>
  <si>
    <t xml:space="preserve">Docker, Kind, kubectl (Kustomize built in)</t>
  </si>
  <si>
    <t xml:space="preserve">PAY-1003, PAY-002</t>
  </si>
  <si>
    <t xml:space="preserve">Probes, config vs secrets, rolling updates.</t>
  </si>
  <si>
    <t xml:space="preserve">PAY-1005</t>
  </si>
  <si>
    <t xml:space="preserve">Portfolio packaging</t>
  </si>
  <si>
    <t xml:space="preserve">As a candidate, I want the repository to be interview-ready, so that reviewers grasp the design in minutes.</t>
  </si>
  <si>
    <t xml:space="preserve">1. README contains: architecture diagram, sequence diagrams (happy path and bank-timeout path), run instructions and a design-decision summary.
2. ADRs in docs/adr cover: outbox vs dual write, choreography vs orchestration, fail-open vs fail-closed, synchronous fraud call, no Spring Statemachine.
3. OpenAPI specs and a Bruno/Postman collection are included.
4. A 2-minute demo script for interviews is written.</t>
  </si>
  <si>
    <t xml:space="preserve">GitHub renders Mermaid natively - keep diagrams as code. Use the MADR format for ADRs. Add a 'Known limitations / what I would do next' section; interviewers value honesty.</t>
  </si>
  <si>
    <t xml:space="preserve">Mermaid (in Markdown), Bruno or Postman, optional draw.io</t>
  </si>
  <si>
    <t xml:space="preserve">All</t>
  </si>
  <si>
    <t xml:space="preserve">Telling the story of the project in 2 minutes.</t>
  </si>
  <si>
    <t xml:space="preserve">Backlog Summary (formulas - updates as you change Status / Points / Sprint)</t>
  </si>
  <si>
    <t xml:space="preserve">By epic</t>
  </si>
  <si>
    <t xml:space="preserve">Stories</t>
  </si>
  <si>
    <t xml:space="preserve">Points</t>
  </si>
  <si>
    <t xml:space="preserve">Done stories</t>
  </si>
  <si>
    <t xml:space="preserve">Done points</t>
  </si>
  <si>
    <t xml:space="preserve">% complete (points)</t>
  </si>
  <si>
    <t xml:space="preserve">Total</t>
  </si>
  <si>
    <t xml:space="preserve">By sprint</t>
  </si>
  <si>
    <t xml:space="preserve">By priority</t>
  </si>
  <si>
    <t xml:space="preserve">Note: 'Must' stories alone give a complete end-to-end demo; add 'Should' items as time allows.</t>
  </si>
  <si>
    <t xml:space="preserve">#</t>
  </si>
  <si>
    <t xml:space="preserve">Category</t>
  </si>
  <si>
    <t xml:space="preserve">Library</t>
  </si>
  <si>
    <t xml:space="preserve">Maven coordinates (groupId:artifactId)</t>
  </si>
  <si>
    <t xml:space="preserve">Purpose</t>
  </si>
  <si>
    <t xml:space="preserve">Used in</t>
  </si>
  <si>
    <t xml:space="preserve">Related stories</t>
  </si>
  <si>
    <t xml:space="preserve">Version guidance</t>
  </si>
  <si>
    <t xml:space="preserve">Decision</t>
  </si>
  <si>
    <t xml:space="preserve">Build / BOM</t>
  </si>
  <si>
    <t xml:space="preserve">Spring Boot parent</t>
  </si>
  <si>
    <t xml:space="preserve">org.springframework.boot:spring-boot-starter-parent</t>
  </si>
  <si>
    <t xml:space="preserve">Dependency management, plugin defaults</t>
  </si>
  <si>
    <t xml:space="preserve">Parent POM</t>
  </si>
  <si>
    <t xml:space="preserve">Use latest 4.0.x patch</t>
  </si>
  <si>
    <t xml:space="preserve">Required</t>
  </si>
  <si>
    <t xml:space="preserve">Spring Cloud BOM</t>
  </si>
  <si>
    <t xml:space="preserve">org.springframework.cloud:spring-cloud-dependencies</t>
  </si>
  <si>
    <t xml:space="preserve">Aligned versions for Gateway and CircuitBreaker</t>
  </si>
  <si>
    <t xml:space="preserve">2025.1.x (the train for Boot 4.0)</t>
  </si>
  <si>
    <t xml:space="preserve">Maven Failsafe plugin</t>
  </si>
  <si>
    <t xml:space="preserve">org.apache.maven.plugins:maven-failsafe-plugin</t>
  </si>
  <si>
    <t xml:space="preserve">Runs *IT integration tests separately from unit tests</t>
  </si>
  <si>
    <t xml:space="preserve">Managed by Boot parent</t>
  </si>
  <si>
    <t xml:space="preserve">Web</t>
  </si>
  <si>
    <t xml:space="preserve">Spring Web MVC</t>
  </si>
  <si>
    <t xml:space="preserve">org.springframework.boot:spring-boot-starter-webmvc</t>
  </si>
  <si>
    <t xml:space="preserve">REST controllers (servlet stack). Boot 4 name - the old spring-boot-starter-web is deprecated.</t>
  </si>
  <si>
    <t xml:space="preserve">payment, fraud, ledger, notification, settlement, bank-simulator</t>
  </si>
  <si>
    <t xml:space="preserve">PAY-003, 101, 201</t>
  </si>
  <si>
    <t xml:space="preserve">Managed by Boot - no version</t>
  </si>
  <si>
    <t xml:space="preserve">Validation</t>
  </si>
  <si>
    <t xml:space="preserve">org.springframework.boot:spring-boot-starter-validation</t>
  </si>
  <si>
    <t xml:space="preserve">Bean Validation for request DTOs</t>
  </si>
  <si>
    <t xml:space="preserve">All servlet services</t>
  </si>
  <si>
    <t xml:space="preserve">PAY-003, 101</t>
  </si>
  <si>
    <t xml:space="preserve">Managed</t>
  </si>
  <si>
    <t xml:space="preserve">RestClient (outbound HTTP)</t>
  </si>
  <si>
    <t xml:space="preserve">org.springframework.boot:spring-boot-starter-restclient</t>
  </si>
  <si>
    <t xml:space="preserve">Calls to bank, fraud-service and merchant webhooks; timeouts set explicitly. Boot 4 needs this starter for RestClient auto-configuration.</t>
  </si>
  <si>
    <t xml:space="preserve">payment, notification</t>
  </si>
  <si>
    <t xml:space="preserve">PAY-202, 402, 601</t>
  </si>
  <si>
    <t xml:space="preserve">Actuator</t>
  </si>
  <si>
    <t xml:space="preserve">org.springframework.boot:spring-boot-starter-actuator</t>
  </si>
  <si>
    <t xml:space="preserve">Health, liveness/readiness probes, metrics endpoint</t>
  </si>
  <si>
    <t xml:space="preserve">PAY-002, 902, 1004</t>
  </si>
  <si>
    <t xml:space="preserve">API docs</t>
  </si>
  <si>
    <t xml:space="preserve">springdoc-openapi</t>
  </si>
  <si>
    <t xml:space="preserve">org.springdoc:springdoc-openapi-starter-webmvc-ui</t>
  </si>
  <si>
    <t xml:space="preserve">OpenAPI spec + Swagger UI</t>
  </si>
  <si>
    <t xml:space="preserve">PAY-003, 1005</t>
  </si>
  <si>
    <t xml:space="preserve">NOT managed by Boot - use the 3.0.x line (built for Boot 4)</t>
  </si>
  <si>
    <t xml:space="preserve">Persistence</t>
  </si>
  <si>
    <t xml:space="preserve">Spring Data JPA (Hibernate)</t>
  </si>
  <si>
    <t xml:space="preserve">org.springframework.boot:spring-boot-starter-data-jpa</t>
  </si>
  <si>
    <t xml:space="preserve">Persistence and @Version optimistic locking</t>
  </si>
  <si>
    <t xml:space="preserve">payment, fraud, ledger, notification, settlement</t>
  </si>
  <si>
    <t xml:space="preserve">PAY-101, 102, 103, 401, 501, 801</t>
  </si>
  <si>
    <t xml:space="preserve">PostgreSQL JDBC driver</t>
  </si>
  <si>
    <t xml:space="preserve">org.postgresql:postgresql</t>
  </si>
  <si>
    <t xml:space="preserve">JDBC driver</t>
  </si>
  <si>
    <t xml:space="preserve">Same as above</t>
  </si>
  <si>
    <t xml:space="preserve">Flyway starter</t>
  </si>
  <si>
    <t xml:space="preserve">org.springframework.boot:spring-boot-starter-flyway</t>
  </si>
  <si>
    <t xml:space="preserve">Schema migrations. Boot 4 requires this starter - flyway-core alone is no longer enough.</t>
  </si>
  <si>
    <t xml:space="preserve">Flyway PostgreSQL module</t>
  </si>
  <si>
    <t xml:space="preserve">org.flywaydb:flyway-database-postgresql</t>
  </si>
  <si>
    <t xml:space="preserve">Database-specific support needed by recent Flyway versions</t>
  </si>
  <si>
    <t xml:space="preserve">Managed by Boot</t>
  </si>
  <si>
    <t xml:space="preserve">Messaging</t>
  </si>
  <si>
    <t xml:space="preserve">Spring for Apache Kafka</t>
  </si>
  <si>
    <t xml:space="preserve">org.springframework.boot:spring-boot-starter-kafka</t>
  </si>
  <si>
    <t xml:space="preserve">Producers, listeners, DefaultErrorHandler, dead-letter publishing. Boot 4 requires this starter.</t>
  </si>
  <si>
    <t xml:space="preserve">payment, ledger, notification, settlement (fraud optional)</t>
  </si>
  <si>
    <t xml:space="preserve">PAY-301, 302, 303, 501, 601, 801</t>
  </si>
  <si>
    <t xml:space="preserve">Security</t>
  </si>
  <si>
    <t xml:space="preserve">OAuth2 Resource Server</t>
  </si>
  <si>
    <t xml:space="preserve">org.springframework.boot:spring-boot-starter-security-oauth2-resource-server</t>
  </si>
  <si>
    <t xml:space="preserve">JWT validation against Keycloak (brings Spring Security)</t>
  </si>
  <si>
    <t xml:space="preserve">api-gateway + business services</t>
  </si>
  <si>
    <t xml:space="preserve">Managed. Old name spring-boot-starter-oauth2-resource-server is deprecated</t>
  </si>
  <si>
    <t xml:space="preserve">OAuth2 Client</t>
  </si>
  <si>
    <t xml:space="preserve">org.springframework.boot:spring-boot-starter-security-oauth2-client</t>
  </si>
  <si>
    <t xml:space="preserve">Client-credentials tokens for service-to-service calls</t>
  </si>
  <si>
    <t xml:space="preserve">payment-service (calls fraud/bank); others as needed</t>
  </si>
  <si>
    <t xml:space="preserve">Gateway</t>
  </si>
  <si>
    <t xml:space="preserve">Spring Cloud Gateway (WebFlux)</t>
  </si>
  <si>
    <t xml:space="preserve">org.springframework.cloud:spring-cloud-starter-gateway-server-webflux</t>
  </si>
  <si>
    <t xml:space="preserve">Routing, JWT check, rate limiting</t>
  </si>
  <si>
    <t xml:space="preserve">api-gateway</t>
  </si>
  <si>
    <t xml:space="preserve">PAY-701, 703</t>
  </si>
  <si>
    <t xml:space="preserve">Version from Spring Cloud BOM</t>
  </si>
  <si>
    <t xml:space="preserve">Cache / rate limit</t>
  </si>
  <si>
    <t xml:space="preserve">Reactive Redis (works with Valkey)</t>
  </si>
  <si>
    <t xml:space="preserve">org.springframework.boot:spring-boot-starter-data-redis-reactive</t>
  </si>
  <si>
    <t xml:space="preserve">Token-bucket storage for the gateway rate limiter</t>
  </si>
  <si>
    <t xml:space="preserve">Cache</t>
  </si>
  <si>
    <t xml:space="preserve">Redis (blocking)</t>
  </si>
  <si>
    <t xml:space="preserve">org.springframework.boot:spring-boot-starter-data-redis</t>
  </si>
  <si>
    <t xml:space="preserve">Optional idempotency fast-path or fraud velocity counters (Postgres remains the source of truth)</t>
  </si>
  <si>
    <t xml:space="preserve">payment, fraud</t>
  </si>
  <si>
    <t xml:space="preserve">PAY-102, 401</t>
  </si>
  <si>
    <t xml:space="preserve">Optional</t>
  </si>
  <si>
    <t xml:space="preserve">Resilience</t>
  </si>
  <si>
    <t xml:space="preserve">Spring Cloud CircuitBreaker + Resilience4j</t>
  </si>
  <si>
    <t xml:space="preserve">org.springframework.cloud:spring-cloud-starter-circuitbreaker-resilience4j</t>
  </si>
  <si>
    <t xml:space="preserve">Circuit breaker, time limiter and bulkhead around bank and fraud calls</t>
  </si>
  <si>
    <t xml:space="preserve">PAY-202, 402</t>
  </si>
  <si>
    <t xml:space="preserve">Spring Framework 7 retry (built-in)</t>
  </si>
  <si>
    <t xml:space="preserve">(no dependency) org.springframework.core.retry - RetryTemplate / @Retryable</t>
  </si>
  <si>
    <t xml:space="preserve">Retry with backoff and jitter</t>
  </si>
  <si>
    <t xml:space="preserve">Part of Spring Framework 7</t>
  </si>
  <si>
    <t xml:space="preserve">Built-in</t>
  </si>
  <si>
    <t xml:space="preserve">Scheduling</t>
  </si>
  <si>
    <t xml:space="preserve">@Scheduled + Postgres locking</t>
  </si>
  <si>
    <t xml:space="preserve">(no dependency)</t>
  </si>
  <si>
    <t xml:space="preserve">Scheduled jobs made cluster-safe with SELECT ... FOR UPDATE SKIP LOCKED or advisory locks</t>
  </si>
  <si>
    <t xml:space="preserve">payment, notification, settlement</t>
  </si>
  <si>
    <t xml:space="preserve">PAY-104, 203, 301, 601, 801</t>
  </si>
  <si>
    <t xml:space="preserve">Hand-written - good practice and a good interview story</t>
  </si>
  <si>
    <t xml:space="preserve">ShedLock</t>
  </si>
  <si>
    <t xml:space="preserve">net.javacrumbs.shedlock:shedlock-spring + shedlock-provider-jdbc-template</t>
  </si>
  <si>
    <t xml:space="preserve">Library alternative to hand-written job locking</t>
  </si>
  <si>
    <t xml:space="preserve">payment, settlement</t>
  </si>
  <si>
    <t xml:space="preserve">PAY-104, 801</t>
  </si>
  <si>
    <t xml:space="preserve">NOT managed by Boot - latest 6.x; check its README for Boot 4 support first</t>
  </si>
  <si>
    <t xml:space="preserve">Micrometer metrics starter</t>
  </si>
  <si>
    <t xml:space="preserve">org.springframework.boot:spring-boot-starter-micrometer-metrics</t>
  </si>
  <si>
    <t xml:space="preserve">Metrics API</t>
  </si>
  <si>
    <t xml:space="preserve">Prometheus registry</t>
  </si>
  <si>
    <t xml:space="preserve">io.micrometer:micrometer-registry-prometheus</t>
  </si>
  <si>
    <t xml:space="preserve">/actuator/prometheus scrape endpoint</t>
  </si>
  <si>
    <t xml:space="preserve">OpenTelemetry starter</t>
  </si>
  <si>
    <t xml:space="preserve">org.springframework.boot:spring-boot-starter-opentelemetry</t>
  </si>
  <si>
    <t xml:space="preserve">Distributed tracing exported over OTLP to Jaeger</t>
  </si>
  <si>
    <t xml:space="preserve">Structured logging</t>
  </si>
  <si>
    <t xml:space="preserve">(no dependency) logging.structured.format.console property</t>
  </si>
  <si>
    <t xml:space="preserve">JSON logs with trace IDs - built into Boot, so skip logstash-logback-encoder</t>
  </si>
  <si>
    <t xml:space="preserve">Built into Boot</t>
  </si>
  <si>
    <t xml:space="preserve">Email</t>
  </si>
  <si>
    <t xml:space="preserve">Mail</t>
  </si>
  <si>
    <t xml:space="preserve">org.springframework.boot:spring-boot-starter-mail</t>
  </si>
  <si>
    <t xml:space="preserve">Send email over SMTP (Mailpit locally)</t>
  </si>
  <si>
    <t xml:space="preserve">Thymeleaf</t>
  </si>
  <si>
    <t xml:space="preserve">org.springframework.boot:spring-boot-starter-thymeleaf</t>
  </si>
  <si>
    <t xml:space="preserve">Email templates</t>
  </si>
  <si>
    <t xml:space="preserve">Files</t>
  </si>
  <si>
    <t xml:space="preserve">Apache Commons CSV</t>
  </si>
  <si>
    <t xml:space="preserve">org.apache.commons:commons-csv</t>
  </si>
  <si>
    <t xml:space="preserve">Parse the bank settlement CSV</t>
  </si>
  <si>
    <t xml:space="preserve">NOT managed by Boot - latest 1.x</t>
  </si>
  <si>
    <t xml:space="preserve">Crypto</t>
  </si>
  <si>
    <t xml:space="preserve">JDK HMAC-SHA256</t>
  </si>
  <si>
    <t xml:space="preserve">(no dependency) javax.crypto.Mac</t>
  </si>
  <si>
    <t xml:space="preserve">Sign webhooks</t>
  </si>
  <si>
    <t xml:space="preserve">Built into the JDK</t>
  </si>
  <si>
    <t xml:space="preserve">Testing</t>
  </si>
  <si>
    <t xml:space="preserve">Web MVC test starter</t>
  </si>
  <si>
    <t xml:space="preserve">org.springframework.boot:spring-boot-starter-webmvc-test</t>
  </si>
  <si>
    <t xml:space="preserve">MockMvc, JUnit 5, AssertJ, Mockito (brings spring-boot-starter-test). Test scope. Add @AutoConfigureMockMvc to use MockMvc in Boot 4.</t>
  </si>
  <si>
    <t xml:space="preserve">Data JPA test starter</t>
  </si>
  <si>
    <t xml:space="preserve">org.springframework.boot:spring-boot-starter-data-jpa-test</t>
  </si>
  <si>
    <t xml:space="preserve">@DataJpaTest slices. Test scope.</t>
  </si>
  <si>
    <t xml:space="preserve">JPA services</t>
  </si>
  <si>
    <t xml:space="preserve">PAY-101, 102</t>
  </si>
  <si>
    <t xml:space="preserve">Security test starter</t>
  </si>
  <si>
    <t xml:space="preserve">org.springframework.boot:spring-boot-starter-security-test</t>
  </si>
  <si>
    <t xml:space="preserve">JWT / mock-user test support. Test scope.</t>
  </si>
  <si>
    <t xml:space="preserve">Services with security</t>
  </si>
  <si>
    <t xml:space="preserve">PAY-701, 702</t>
  </si>
  <si>
    <t xml:space="preserve">Spring Boot Testcontainers</t>
  </si>
  <si>
    <t xml:space="preserve">org.springframework.boot:spring-boot-testcontainers</t>
  </si>
  <si>
    <t xml:space="preserve">@ServiceConnection wiring of containers. Test scope.</t>
  </si>
  <si>
    <t xml:space="preserve">Services with DB/Kafka</t>
  </si>
  <si>
    <t xml:space="preserve">Testcontainers PostgreSQL</t>
  </si>
  <si>
    <t xml:space="preserve">org.testcontainers:testcontainers-postgresql</t>
  </si>
  <si>
    <t xml:space="preserve">Real Postgres in tests</t>
  </si>
  <si>
    <t xml:space="preserve">PAY-101, 1001</t>
  </si>
  <si>
    <t xml:space="preserve">Managed by Boot. Testcontainers 2.x uses the 'testcontainers-' prefix; if it does not resolve, tick Testcontainers on start.spring.io and compare</t>
  </si>
  <si>
    <t xml:space="preserve">Testcontainers Kafka</t>
  </si>
  <si>
    <t xml:space="preserve">org.testcontainers:testcontainers-kafka</t>
  </si>
  <si>
    <t xml:space="preserve">Real Kafka in tests</t>
  </si>
  <si>
    <t xml:space="preserve">Kafka services</t>
  </si>
  <si>
    <t xml:space="preserve">PAY-301, 303, 1001</t>
  </si>
  <si>
    <t xml:space="preserve">Testcontainers JUnit 5</t>
  </si>
  <si>
    <t xml:space="preserve">org.testcontainers:testcontainers-junit-jupiter</t>
  </si>
  <si>
    <t xml:space="preserve">JUnit 5 lifecycle for containers</t>
  </si>
  <si>
    <t xml:space="preserve">Services with containers in tests</t>
  </si>
  <si>
    <t xml:space="preserve">Awaitility</t>
  </si>
  <si>
    <t xml:space="preserve">org.awaitility:awaitility</t>
  </si>
  <si>
    <t xml:space="preserve">Async assertions without Thread.sleep</t>
  </si>
  <si>
    <t xml:space="preserve">PAY-102, 1001</t>
  </si>
  <si>
    <t xml:space="preserve">WireMock</t>
  </si>
  <si>
    <t xml:space="preserve">org.wiremock:wiremock-standalone</t>
  </si>
  <si>
    <t xml:space="preserve">Stub HTTP dependencies (bank, fraud, merchant webhook)</t>
  </si>
  <si>
    <t xml:space="preserve">NOT managed by Boot - latest 3.x</t>
  </si>
  <si>
    <t xml:space="preserve">Kafka test starter</t>
  </si>
  <si>
    <t xml:space="preserve">org.springframework.boot:spring-boot-starter-kafka-test</t>
  </si>
  <si>
    <t xml:space="preserve">Embedded Kafka - prefer Testcontainers instead</t>
  </si>
  <si>
    <t xml:space="preserve">ArchUnit</t>
  </si>
  <si>
    <t xml:space="preserve">com.tngtech.archunit:archunit-junit5</t>
  </si>
  <si>
    <t xml:space="preserve">Architecture rules as tests (for example no cross-service imports)</t>
  </si>
  <si>
    <t xml:space="preserve">PAY-702, 1001</t>
  </si>
  <si>
    <t xml:space="preserve">Toxiproxy (Testcontainers)</t>
  </si>
  <si>
    <t xml:space="preserve">org.testcontainers:testcontainers-toxiproxy</t>
  </si>
  <si>
    <t xml:space="preserve">Inject latency / cut connections in integration tests</t>
  </si>
  <si>
    <t xml:space="preserve">payment</t>
  </si>
  <si>
    <t xml:space="preserve">Convenience</t>
  </si>
  <si>
    <t xml:space="preserve">Lombok</t>
  </si>
  <si>
    <t xml:space="preserve">org.projectlombok:lombok</t>
  </si>
  <si>
    <t xml:space="preserve">Reduces boilerplate. Java records cover DTOs and explicit code reads better in interviews, so this is optional.</t>
  </si>
  <si>
    <t xml:space="preserve">Avoid</t>
  </si>
  <si>
    <t xml:space="preserve">Spring Cloud Netflix Eureka (service discovery server)</t>
  </si>
  <si>
    <t xml:space="preserve">Not needed: Docker Compose and Kubernetes DNS already provide service discovery</t>
  </si>
  <si>
    <t xml:space="preserve">Spring Cloud Config Server</t>
  </si>
  <si>
    <t xml:space="preserve">Use environment variables + Kubernetes ConfigMaps/Secrets instead</t>
  </si>
  <si>
    <t xml:space="preserve">Keycloak Spring adapters</t>
  </si>
  <si>
    <t xml:space="preserve">org.keycloak:keycloak-spring-boot-starter</t>
  </si>
  <si>
    <t xml:space="preserve">Deprecated. Use standard Spring Security OAuth2 Resource Server</t>
  </si>
  <si>
    <t xml:space="preserve">Spring Cloud Sleuth / Netflix Hystrix</t>
  </si>
  <si>
    <t xml:space="preserve">Discontinued. Replaced by Micrometer Tracing / OpenTelemetry and Resilience4j</t>
  </si>
  <si>
    <t xml:space="preserve">PAY-202, 901</t>
  </si>
  <si>
    <t xml:space="preserve">Spring Statemachine</t>
  </si>
  <si>
    <t xml:space="preserve">org.springframework.statemachine:*</t>
  </si>
  <si>
    <t xml:space="preserve">Hides transitions inside framework config. A hand-written transition table is easier to test and explain</t>
  </si>
  <si>
    <t xml:space="preserve">Zookeeper</t>
  </si>
  <si>
    <t xml:space="preserve">Kafka runs in KRaft mode - no Zookeeper container needed</t>
  </si>
  <si>
    <t xml:space="preserve">Rules engines (Drools)</t>
  </si>
  <si>
    <t xml:space="preserve">Overkill for three fraud rules; the Strategy pattern is enough</t>
  </si>
  <si>
    <t xml:space="preserve">Bitnami Helm charts / images</t>
  </si>
  <si>
    <t xml:space="preserve">Bitnami's free catalog changed in 2025 - use official images (postgres, apache/kafka) instead</t>
  </si>
  <si>
    <t xml:space="preserve">Old Boot 3 starter names</t>
  </si>
  <si>
    <t xml:space="preserve">spring-boot-starter-web, spring-boot-starter-aop, spring-boot-starter-oauth2-*</t>
  </si>
  <si>
    <t xml:space="preserve">Deprecated or renamed in Boot 4 - use the names in this sheet</t>
  </si>
  <si>
    <t xml:space="preserve">Decision key: Required = install it; Optional = add only if you want the stretch; Built-in = no dependency needed; Avoid = deliberately not used (reason given).</t>
  </si>
  <si>
    <t xml:space="preserve">Suggested port</t>
  </si>
  <si>
    <t xml:space="preserve">Tick on start.spring.io (Maven, Java 21, Boot 4.0.x)</t>
  </si>
  <si>
    <t xml:space="preserve">Add manually to the POM</t>
  </si>
  <si>
    <t xml:space="preserve">Notes</t>
  </si>
  <si>
    <t xml:space="preserve">Reactive Gateway (Spring Cloud Routing - pick the WebFlux one); OAuth2 Resource Server; Spring Data Reactive Redis; Spring Boot Actuator; Prometheus; OpenTelemetry</t>
  </si>
  <si>
    <t xml:space="preserve">Keycloak issuer URI and Redis host via environment variables</t>
  </si>
  <si>
    <t xml:space="preserve">Spring Web; Validation; Spring Data JPA; PostgreSQL Driver; Flyway Migration; Spring for Apache Kafka; OAuth2 Resource Server; OAuth2 Client; Resilience4J; Spring Boot Actuator; Prometheus; OpenTelemetry; Testcontainers</t>
  </si>
  <si>
    <t xml:space="preserve">spring-boot-starter-restclient; org.flywaydb:flyway-database-postgresql; springdoc-openapi-starter-webmvc-ui (3.0.x); test: testcontainers-postgresql, testcontainers-kafka, wiremock-standalone</t>
  </si>
  <si>
    <t xml:space="preserve">Owns payment state, idempotency, outbox. Talks to fraud-service and bank-simulator.</t>
  </si>
  <si>
    <t xml:space="preserve">Spring Web; Validation; Spring Data JPA; PostgreSQL Driver; Flyway Migration; OAuth2 Resource Server; Spring Boot Actuator; Prometheus; OpenTelemetry; Testcontainers</t>
  </si>
  <si>
    <t xml:space="preserve">org.flywaydb:flyway-database-postgresql; springdoc-openapi-starter-webmvc-ui; optional: Spring Data Redis (Access+Driver) for velocity counters</t>
  </si>
  <si>
    <t xml:space="preserve">Synchronous risk API - no Kafka needed unless you add audit events.</t>
  </si>
  <si>
    <t xml:space="preserve">Spring Web; Validation; Spring Data JPA; PostgreSQL Driver; Flyway Migration; Spring for Apache Kafka; OAuth2 Resource Server; Spring Boot Actuator; Prometheus; OpenTelemetry; Testcontainers</t>
  </si>
  <si>
    <t xml:space="preserve">org.flywaydb:flyway-database-postgresql; springdoc-openapi-starter-webmvc-ui; test: testcontainers-postgresql, testcontainers-kafka</t>
  </si>
  <si>
    <t xml:space="preserve">Consumes payment events; balance and journal queries.</t>
  </si>
  <si>
    <t xml:space="preserve">Spring Web; Validation; Spring Data JPA; PostgreSQL Driver; Flyway Migration; Spring for Apache Kafka; Java Mail Sender; Thymeleaf; OAuth2 Resource Server; Spring Boot Actuator; Prometheus; OpenTelemetry; Testcontainers</t>
  </si>
  <si>
    <t xml:space="preserve">spring-boot-starter-restclient; org.flywaydb:flyway-database-postgresql; springdoc-openapi-starter-webmvc-ui; test: wiremock-standalone</t>
  </si>
  <si>
    <t xml:space="preserve">Webhooks (RestClient) + email (Mailpit).</t>
  </si>
  <si>
    <t xml:space="preserve">org.apache.commons:commons-csv; org.flywaydb:flyway-database-postgresql; springdoc-openapi-starter-webmvc-ui; optional: Spring Batch (JDBC)</t>
  </si>
  <si>
    <t xml:space="preserve">Read model from events, daily batch, reconciliation.</t>
  </si>
  <si>
    <t xml:space="preserve">Spring Web; Validation; Spring Boot Actuator</t>
  </si>
  <si>
    <t xml:space="preserve">optional: springdoc-openapi-starter-webmvc-ui</t>
  </si>
  <si>
    <t xml:space="preserve">No database, no auth: it plays an external bank. In-memory state only.</t>
  </si>
  <si>
    <t xml:space="preserve">None - plain Java 21 module</t>
  </si>
  <si>
    <t xml:space="preserve">Only what shared DTOs need (for example jackson-annotations); no Spring starters</t>
  </si>
  <si>
    <t xml:space="preserve">Error model, event records, correlation-ID constants. Keep tiny.</t>
  </si>
  <si>
    <t xml:space="preserve">Group ID suggestion: com.&lt;yourname&gt;.payments. Package by feature inside each service.</t>
  </si>
  <si>
    <t xml:space="preserve">Every service also gets: Testcontainers modules and Awaitility as test-scope dependencies where it uses Postgres/Kafka.</t>
  </si>
  <si>
    <t xml:space="preserve">If start.spring.io names differ slightly (Initializr labels change), match by purpose - the Libraries sheet lists the exact Maven coordinates.</t>
  </si>
  <si>
    <t xml:space="preserve">Tool</t>
  </si>
  <si>
    <t xml:space="preserve">Free option / notes</t>
  </si>
  <si>
    <t xml:space="preserve">Image or where to get it</t>
  </si>
  <si>
    <t xml:space="preserve">Suggested host port</t>
  </si>
  <si>
    <t xml:space="preserve">Needed from sprint</t>
  </si>
  <si>
    <t xml:space="preserve">Required?</t>
  </si>
  <si>
    <t xml:space="preserve">JDK 21</t>
  </si>
  <si>
    <t xml:space="preserve">Compile and run Java</t>
  </si>
  <si>
    <t xml:space="preserve">Eclipse Temurin 21 (free OpenJDK build)</t>
  </si>
  <si>
    <t xml:space="preserve">adoptium.net, or SDKMAN</t>
  </si>
  <si>
    <t xml:space="preserve">Maven 3.9.x</t>
  </si>
  <si>
    <t xml:space="preserve">Build tool</t>
  </si>
  <si>
    <t xml:space="preserve">Free. Each module ships the Maven Wrapper (mvnw), so a global install is optional</t>
  </si>
  <si>
    <t xml:space="preserve">maven.apache.org</t>
  </si>
  <si>
    <t xml:space="preserve">IDE</t>
  </si>
  <si>
    <t xml:space="preserve">Write and debug code</t>
  </si>
  <si>
    <t xml:space="preserve">IntelliJ IDEA (free tier) or VS Code with the Extension Pack for Java</t>
  </si>
  <si>
    <t xml:space="preserve">jetbrains.com / code.visualstudio.com</t>
  </si>
  <si>
    <t xml:space="preserve">Git + GitHub</t>
  </si>
  <si>
    <t xml:space="preserve">Source control, CI, portfolio</t>
  </si>
  <si>
    <t xml:space="preserve">Free account. Public repo = free Actions minutes and visible to recruiters</t>
  </si>
  <si>
    <t xml:space="preserve">github.com</t>
  </si>
  <si>
    <t xml:space="preserve">Docker</t>
  </si>
  <si>
    <t xml:space="preserve">Run all backing services</t>
  </si>
  <si>
    <t xml:space="preserve">Docker Desktop (free for personal use) or Rancher Desktop / Colima / Docker Engine on Linux</t>
  </si>
  <si>
    <t xml:space="preserve">docker.com / rancherdesktop.io</t>
  </si>
  <si>
    <t xml:space="preserve">PostgreSQL</t>
  </si>
  <si>
    <t xml:space="preserve">Database per service</t>
  </si>
  <si>
    <t xml:space="preserve">Official image</t>
  </si>
  <si>
    <t xml:space="preserve">postgres (17 or newer)</t>
  </si>
  <si>
    <t xml:space="preserve">Apache Kafka</t>
  </si>
  <si>
    <t xml:space="preserve">Event backbone (KRaft mode, no Zookeeper)</t>
  </si>
  <si>
    <t xml:space="preserve">apache/kafka</t>
  </si>
  <si>
    <t xml:space="preserve">Kafka UI</t>
  </si>
  <si>
    <t xml:space="preserve">Inspect topics, consumer lag, DLQ</t>
  </si>
  <si>
    <t xml:space="preserve">Open-source, maintained fork</t>
  </si>
  <si>
    <t xml:space="preserve">ghcr.io/kafbat/kafka-ui</t>
  </si>
  <si>
    <t xml:space="preserve">Recommended</t>
  </si>
  <si>
    <t xml:space="preserve">Keycloak</t>
  </si>
  <si>
    <t xml:space="preserve">OAuth2 / OIDC identity provider</t>
  </si>
  <si>
    <t xml:space="preserve">Open source</t>
  </si>
  <si>
    <t xml:space="preserve">quay.io/keycloak/keycloak (26.x)</t>
  </si>
  <si>
    <t xml:space="preserve">Valkey (or Redis)</t>
  </si>
  <si>
    <t xml:space="preserve">Gateway rate-limit store; optional idempotency cache</t>
  </si>
  <si>
    <t xml:space="preserve">Valkey is fully open source and Redis-compatible; Spring's Redis support works with it</t>
  </si>
  <si>
    <t xml:space="preserve">valkey/valkey (or redis)</t>
  </si>
  <si>
    <t xml:space="preserve">Mailpit</t>
  </si>
  <si>
    <t xml:space="preserve">Local SMTP catcher with web UI (replaces the unmaintained MailHog)</t>
  </si>
  <si>
    <t xml:space="preserve">axllent/mailpit</t>
  </si>
  <si>
    <t xml:space="preserve">8025 UI / 1025 SMTP</t>
  </si>
  <si>
    <t xml:space="preserve">Prometheus</t>
  </si>
  <si>
    <t xml:space="preserve">Metrics storage and scraping</t>
  </si>
  <si>
    <t xml:space="preserve">prom/prometheus</t>
  </si>
  <si>
    <t xml:space="preserve">Grafana</t>
  </si>
  <si>
    <t xml:space="preserve">Dashboards and alerts</t>
  </si>
  <si>
    <t xml:space="preserve">Open-source edition</t>
  </si>
  <si>
    <t xml:space="preserve">grafana/grafana</t>
  </si>
  <si>
    <t xml:space="preserve">Jaeger</t>
  </si>
  <si>
    <t xml:space="preserve">Distributed trace viewer (OTLP receiver built in)</t>
  </si>
  <si>
    <t xml:space="preserve">Open source. Use the v2 image - the old v1 all-in-one image is end-of-life</t>
  </si>
  <si>
    <t xml:space="preserve">jaegertracing/jaeger</t>
  </si>
  <si>
    <t xml:space="preserve">16686 UI / 4317-4318 OTLP</t>
  </si>
  <si>
    <t xml:space="preserve">Loki</t>
  </si>
  <si>
    <t xml:space="preserve">Log aggregation (stretch)</t>
  </si>
  <si>
    <t xml:space="preserve">grafana/loki</t>
  </si>
  <si>
    <t xml:space="preserve">k6</t>
  </si>
  <si>
    <t xml:space="preserve">Load testing</t>
  </si>
  <si>
    <t xml:space="preserve">grafana/k6</t>
  </si>
  <si>
    <t xml:space="preserve">Kind + kubectl</t>
  </si>
  <si>
    <t xml:space="preserve">Local Kubernetes cluster</t>
  </si>
  <si>
    <t xml:space="preserve">Free. Minikube is an alternative</t>
  </si>
  <si>
    <t xml:space="preserve">kind.sigs.k8s.io / kubernetes.io</t>
  </si>
  <si>
    <t xml:space="preserve">API client</t>
  </si>
  <si>
    <t xml:space="preserve">Manual API testing</t>
  </si>
  <si>
    <t xml:space="preserve">Bruno (open source) or Postman free tier or the IntelliJ HTTP client</t>
  </si>
  <si>
    <t xml:space="preserve">usebruno.com / postman.com</t>
  </si>
  <si>
    <t xml:space="preserve">Required (pick one)</t>
  </si>
  <si>
    <t xml:space="preserve">DBeaver Community</t>
  </si>
  <si>
    <t xml:space="preserve">Browse Postgres tables</t>
  </si>
  <si>
    <t xml:space="preserve">Free community edition</t>
  </si>
  <si>
    <t xml:space="preserve">dbeaver.io</t>
  </si>
  <si>
    <t xml:space="preserve">GitHub Actions</t>
  </si>
  <si>
    <t xml:space="preserve">Free for public repos; monthly free minutes for private repos</t>
  </si>
  <si>
    <t xml:space="preserve">github.com/features/actions</t>
  </si>
  <si>
    <t xml:space="preserve">Dependabot</t>
  </si>
  <si>
    <t xml:space="preserve">Dependency vulnerability alerts</t>
  </si>
  <si>
    <t xml:space="preserve">Free on GitHub</t>
  </si>
  <si>
    <t xml:space="preserve">Mermaid / draw.io</t>
  </si>
  <si>
    <t xml:space="preserve">Diagrams in the README</t>
  </si>
  <si>
    <t xml:space="preserve">Free. GitHub renders Mermaid natively</t>
  </si>
  <si>
    <t xml:space="preserve">mermaid.js.org / diagrams.net</t>
  </si>
  <si>
    <t xml:space="preserve">Required (one)</t>
  </si>
  <si>
    <t xml:space="preserve">Laptop sizing: 16 GB RAM is comfortable. Start the 'core' Compose profile daily and the 'observability' profile only when working on Epic 9.</t>
  </si>
  <si>
    <t xml:space="preserve">Service ports: api-gateway 8080, payment 8081, fraud 8082, ledger 8083, notification 8084, settlement 8085, bank-simulator 8086 (see Per-Service Starters).</t>
  </si>
  <si>
    <t xml:space="preserve">Image tags: pin a specific version tag in Compose instead of 'latest' so the environment stays reproducible.</t>
  </si>
</sst>
</file>

<file path=xl/styles.xml><?xml version="1.0" encoding="utf-8"?>
<styleSheet xmlns="http://schemas.openxmlformats.org/spreadsheetml/2006/main">
  <numFmts count="3">
    <numFmt numFmtId="164" formatCode="General"/>
    <numFmt numFmtId="165" formatCode="General"/>
    <numFmt numFmtId="166" formatCode="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F2F2F2"/>
        <bgColor rgb="FFDDEBF7"/>
      </patternFill>
    </fill>
    <fill>
      <patternFill patternType="solid">
        <fgColor rgb="FFC6EFCE"/>
        <bgColor rgb="FFDDEBF7"/>
      </patternFill>
    </fill>
    <fill>
      <patternFill patternType="solid">
        <fgColor rgb="FFDDEBF7"/>
        <bgColor rgb="FFF2F2F2"/>
      </patternFill>
    </fill>
    <fill>
      <patternFill patternType="solid">
        <fgColor rgb="FFF8CBAD"/>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center" vertical="bottom" textRotation="0" wrapText="false" indent="0" shrinkToFit="false"/>
      <protection locked="true" hidden="false"/>
    </xf>
    <xf numFmtId="166" fontId="6" fillId="4"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bgColor rgb="FFC6EFCE"/>
        </patternFill>
      </fill>
    </dxf>
    <dxf>
      <fill>
        <patternFill>
          <bgColor rgb="FFDDEBF7"/>
        </patternFill>
      </fill>
    </dxf>
    <dxf>
      <fill>
        <patternFill>
          <bgColor rgb="FFF8CBAD"/>
        </patternFill>
      </fill>
    </dxf>
    <dxf>
      <fill>
        <patternFill patternType="solid">
          <fgColor rgb="FFC6EFCE"/>
          <bgColor rgb="FF000000"/>
        </patternFill>
      </fill>
    </dxf>
    <dxf>
      <fill>
        <patternFill patternType="solid">
          <fgColor rgb="FFDDEBF7"/>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7.35" hidden="false" customHeight="false" outlineLevel="0" collapsed="false">
      <c r="A1" s="1" t="s">
        <v>0</v>
      </c>
    </row>
    <row r="3" customFormat="false" ht="15" hidden="false" customHeight="false" outlineLevel="0" collapsed="false">
      <c r="A3" s="2" t="s">
        <v>1</v>
      </c>
    </row>
    <row r="4" customFormat="false" ht="23.85" hidden="false" customHeight="false" outlineLevel="0" collapsed="false">
      <c r="A4" s="3" t="s">
        <v>2</v>
      </c>
      <c r="B4" s="4" t="s">
        <v>3</v>
      </c>
    </row>
    <row r="5" customFormat="false" ht="23.85" hidden="false" customHeight="false" outlineLevel="0" collapsed="false">
      <c r="A5" s="3" t="s">
        <v>4</v>
      </c>
      <c r="B5" s="4" t="s">
        <v>5</v>
      </c>
    </row>
    <row r="6" customFormat="false" ht="23.8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1" customFormat="false" ht="15" hidden="false" customHeight="false" outlineLevel="0" collapsed="false">
      <c r="A11" s="2" t="s">
        <v>14</v>
      </c>
    </row>
    <row r="12" customFormat="false" ht="15" hidden="false" customHeight="false" outlineLevel="0" collapsed="false">
      <c r="A12" s="3" t="s">
        <v>15</v>
      </c>
      <c r="B12" s="4" t="s">
        <v>16</v>
      </c>
    </row>
    <row r="13" customFormat="false" ht="15" hidden="false" customHeight="false" outlineLevel="0" collapsed="false">
      <c r="A13" s="3" t="s">
        <v>17</v>
      </c>
      <c r="B13" s="4" t="s">
        <v>18</v>
      </c>
    </row>
    <row r="14" customFormat="false" ht="15" hidden="false" customHeight="false" outlineLevel="0" collapsed="false">
      <c r="A14" s="3" t="s">
        <v>19</v>
      </c>
      <c r="B14" s="4" t="s">
        <v>20</v>
      </c>
    </row>
    <row r="15" customFormat="false" ht="15" hidden="false" customHeight="false" outlineLevel="0" collapsed="false">
      <c r="A15" s="3" t="s">
        <v>21</v>
      </c>
      <c r="B15" s="4" t="s">
        <v>22</v>
      </c>
    </row>
    <row r="16" customFormat="false" ht="15" hidden="false" customHeight="false" outlineLevel="0" collapsed="false">
      <c r="A16" s="3" t="s">
        <v>23</v>
      </c>
      <c r="B16" s="4" t="s">
        <v>24</v>
      </c>
    </row>
    <row r="17" customFormat="false" ht="15" hidden="false" customHeight="false" outlineLevel="0" collapsed="false">
      <c r="A17" s="3" t="s">
        <v>25</v>
      </c>
      <c r="B17" s="4" t="s">
        <v>26</v>
      </c>
    </row>
    <row r="18" customFormat="false" ht="23.85" hidden="false" customHeight="false" outlineLevel="0" collapsed="false">
      <c r="A18" s="3" t="s">
        <v>27</v>
      </c>
      <c r="B18" s="4" t="s">
        <v>28</v>
      </c>
    </row>
    <row r="20" customFormat="false" ht="15" hidden="false" customHeight="false" outlineLevel="0" collapsed="false">
      <c r="A20" s="2" t="s">
        <v>29</v>
      </c>
    </row>
    <row r="21" customFormat="false" ht="23.85" hidden="false" customHeight="false" outlineLevel="0" collapsed="false">
      <c r="A21" s="3" t="s">
        <v>30</v>
      </c>
      <c r="B21" s="4" t="s">
        <v>31</v>
      </c>
    </row>
    <row r="22" customFormat="false" ht="23.85" hidden="false" customHeight="false" outlineLevel="0" collapsed="false">
      <c r="A22" s="3" t="s">
        <v>32</v>
      </c>
      <c r="B22" s="4" t="s">
        <v>33</v>
      </c>
    </row>
    <row r="23" customFormat="false" ht="23.85" hidden="false" customHeight="false" outlineLevel="0" collapsed="false">
      <c r="A23" s="3" t="s">
        <v>34</v>
      </c>
      <c r="B23" s="4" t="s">
        <v>35</v>
      </c>
    </row>
    <row r="24" customFormat="false" ht="15" hidden="false" customHeight="false" outlineLevel="0" collapsed="false">
      <c r="A24" s="3" t="s">
        <v>36</v>
      </c>
      <c r="B24" s="4" t="s">
        <v>37</v>
      </c>
    </row>
    <row r="25" customFormat="false" ht="23.85" hidden="false" customHeight="false" outlineLevel="0" collapsed="false">
      <c r="A25" s="3" t="s">
        <v>38</v>
      </c>
      <c r="B25" s="4" t="s">
        <v>39</v>
      </c>
    </row>
    <row r="27" customFormat="false" ht="15" hidden="false" customHeight="false" outlineLevel="0" collapsed="false">
      <c r="A27" s="2" t="s">
        <v>40</v>
      </c>
    </row>
    <row r="28" customFormat="false" ht="15" hidden="false" customHeight="false" outlineLevel="0" collapsed="false">
      <c r="A28" s="3" t="s">
        <v>41</v>
      </c>
      <c r="B28" s="4" t="s">
        <v>42</v>
      </c>
    </row>
    <row r="29" customFormat="false" ht="15" hidden="false" customHeight="false" outlineLevel="0" collapsed="false">
      <c r="A29" s="3" t="s">
        <v>43</v>
      </c>
      <c r="B29" s="4" t="s">
        <v>44</v>
      </c>
    </row>
    <row r="30" customFormat="false" ht="23.85" hidden="false" customHeight="false" outlineLevel="0" collapsed="false">
      <c r="A30" s="3" t="s">
        <v>45</v>
      </c>
      <c r="B30" s="4" t="s">
        <v>46</v>
      </c>
    </row>
    <row r="31" customFormat="false" ht="15" hidden="false" customHeight="false" outlineLevel="0" collapsed="false">
      <c r="A31" s="3" t="s">
        <v>47</v>
      </c>
      <c r="B31" s="4"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26"/>
    <col collapsed="false" customWidth="true" hidden="false" outlineLevel="0" max="4" min="4" style="0" width="20"/>
    <col collapsed="false" customWidth="true" hidden="false" outlineLevel="0" max="5" min="5" style="0" width="46"/>
    <col collapsed="false" customWidth="true" hidden="false" outlineLevel="0" max="7" min="6" style="0" width="70"/>
    <col collapsed="false" customWidth="true" hidden="false" outlineLevel="0" max="8" min="8" style="0" width="44"/>
    <col collapsed="false" customWidth="true" hidden="false" outlineLevel="0" max="9" min="9" style="0" width="10"/>
    <col collapsed="false" customWidth="true" hidden="false" outlineLevel="0" max="10" min="10" style="0" width="9"/>
    <col collapsed="false" customWidth="true" hidden="false" outlineLevel="0" max="11" min="11" style="0" width="8"/>
    <col collapsed="false" customWidth="true" hidden="false" outlineLevel="0" max="12" min="12" style="0" width="18"/>
    <col collapsed="false" customWidth="true" hidden="false" outlineLevel="0" max="13" min="13" style="0" width="13"/>
    <col collapsed="false" customWidth="true" hidden="false" outlineLevel="0" max="14" min="14" style="0" width="38"/>
  </cols>
  <sheetData>
    <row r="1" customFormat="false" ht="30" hidden="false" customHeight="true" outlineLevel="0" collapsed="false">
      <c r="A1" s="5" t="s">
        <v>49</v>
      </c>
      <c r="B1" s="5" t="s">
        <v>50</v>
      </c>
      <c r="C1" s="5" t="s">
        <v>51</v>
      </c>
      <c r="D1" s="5" t="s">
        <v>52</v>
      </c>
      <c r="E1" s="5" t="s">
        <v>53</v>
      </c>
      <c r="F1" s="5" t="s">
        <v>54</v>
      </c>
      <c r="G1" s="5" t="s">
        <v>55</v>
      </c>
      <c r="H1" s="5" t="s">
        <v>56</v>
      </c>
      <c r="I1" s="5" t="s">
        <v>41</v>
      </c>
      <c r="J1" s="5" t="s">
        <v>57</v>
      </c>
      <c r="K1" s="5" t="s">
        <v>58</v>
      </c>
      <c r="L1" s="5" t="s">
        <v>59</v>
      </c>
      <c r="M1" s="5" t="s">
        <v>60</v>
      </c>
      <c r="N1" s="5" t="s">
        <v>61</v>
      </c>
    </row>
    <row r="2" customFormat="false" ht="91" hidden="false" customHeight="false" outlineLevel="0" collapsed="false">
      <c r="A2" s="6" t="s">
        <v>62</v>
      </c>
      <c r="B2" s="7" t="s">
        <v>63</v>
      </c>
      <c r="C2" s="8" t="s">
        <v>64</v>
      </c>
      <c r="D2" s="8" t="s">
        <v>65</v>
      </c>
      <c r="E2" s="8" t="s">
        <v>66</v>
      </c>
      <c r="F2" s="8" t="s">
        <v>67</v>
      </c>
      <c r="G2" s="8" t="s">
        <v>68</v>
      </c>
      <c r="H2" s="8" t="s">
        <v>69</v>
      </c>
      <c r="I2" s="9" t="s">
        <v>70</v>
      </c>
      <c r="J2" s="9" t="n">
        <v>3</v>
      </c>
      <c r="K2" s="9" t="n">
        <v>1</v>
      </c>
      <c r="L2" s="9" t="s">
        <v>71</v>
      </c>
      <c r="M2" s="10" t="s">
        <v>72</v>
      </c>
      <c r="N2" s="8" t="s">
        <v>73</v>
      </c>
    </row>
    <row r="3" customFormat="false" ht="68.65" hidden="false" customHeight="false" outlineLevel="0" collapsed="false">
      <c r="A3" s="6" t="s">
        <v>74</v>
      </c>
      <c r="B3" s="7" t="s">
        <v>75</v>
      </c>
      <c r="C3" s="8" t="s">
        <v>64</v>
      </c>
      <c r="D3" s="8" t="s">
        <v>65</v>
      </c>
      <c r="E3" s="8" t="s">
        <v>76</v>
      </c>
      <c r="F3" s="8" t="s">
        <v>77</v>
      </c>
      <c r="G3" s="8" t="s">
        <v>78</v>
      </c>
      <c r="H3" s="8" t="s">
        <v>79</v>
      </c>
      <c r="I3" s="9" t="s">
        <v>70</v>
      </c>
      <c r="J3" s="9" t="n">
        <v>3</v>
      </c>
      <c r="K3" s="9" t="n">
        <v>1</v>
      </c>
      <c r="L3" s="9" t="s">
        <v>62</v>
      </c>
      <c r="M3" s="10" t="s">
        <v>72</v>
      </c>
      <c r="N3" s="8" t="s">
        <v>80</v>
      </c>
    </row>
    <row r="4" customFormat="false" ht="57.45" hidden="false" customHeight="false" outlineLevel="0" collapsed="false">
      <c r="A4" s="6" t="s">
        <v>81</v>
      </c>
      <c r="B4" s="7" t="s">
        <v>82</v>
      </c>
      <c r="C4" s="8" t="s">
        <v>64</v>
      </c>
      <c r="D4" s="8" t="s">
        <v>83</v>
      </c>
      <c r="E4" s="8" t="s">
        <v>84</v>
      </c>
      <c r="F4" s="8" t="s">
        <v>85</v>
      </c>
      <c r="G4" s="8" t="s">
        <v>86</v>
      </c>
      <c r="H4" s="8" t="s">
        <v>87</v>
      </c>
      <c r="I4" s="9" t="s">
        <v>70</v>
      </c>
      <c r="J4" s="9" t="n">
        <v>2</v>
      </c>
      <c r="K4" s="9" t="n">
        <v>1</v>
      </c>
      <c r="L4" s="9" t="s">
        <v>62</v>
      </c>
      <c r="M4" s="10" t="s">
        <v>72</v>
      </c>
      <c r="N4" s="8" t="s">
        <v>88</v>
      </c>
    </row>
    <row r="5" customFormat="false" ht="68.65" hidden="false" customHeight="false" outlineLevel="0" collapsed="false">
      <c r="A5" s="6" t="s">
        <v>89</v>
      </c>
      <c r="B5" s="7" t="s">
        <v>90</v>
      </c>
      <c r="C5" s="8" t="s">
        <v>91</v>
      </c>
      <c r="D5" s="8" t="s">
        <v>92</v>
      </c>
      <c r="E5" s="8" t="s">
        <v>93</v>
      </c>
      <c r="F5" s="8" t="s">
        <v>94</v>
      </c>
      <c r="G5" s="8" t="s">
        <v>95</v>
      </c>
      <c r="H5" s="8" t="s">
        <v>96</v>
      </c>
      <c r="I5" s="9" t="s">
        <v>70</v>
      </c>
      <c r="J5" s="9" t="n">
        <v>5</v>
      </c>
      <c r="K5" s="9" t="n">
        <v>1</v>
      </c>
      <c r="L5" s="9" t="s">
        <v>97</v>
      </c>
      <c r="M5" s="10" t="s">
        <v>72</v>
      </c>
      <c r="N5" s="8" t="s">
        <v>98</v>
      </c>
    </row>
    <row r="6" customFormat="false" ht="79.85" hidden="false" customHeight="false" outlineLevel="0" collapsed="false">
      <c r="A6" s="6" t="s">
        <v>99</v>
      </c>
      <c r="B6" s="7" t="s">
        <v>100</v>
      </c>
      <c r="C6" s="8" t="s">
        <v>91</v>
      </c>
      <c r="D6" s="8" t="s">
        <v>92</v>
      </c>
      <c r="E6" s="8" t="s">
        <v>101</v>
      </c>
      <c r="F6" s="8" t="s">
        <v>102</v>
      </c>
      <c r="G6" s="8" t="s">
        <v>103</v>
      </c>
      <c r="H6" s="8" t="s">
        <v>104</v>
      </c>
      <c r="I6" s="9" t="s">
        <v>70</v>
      </c>
      <c r="J6" s="9" t="n">
        <v>8</v>
      </c>
      <c r="K6" s="9" t="n">
        <v>1</v>
      </c>
      <c r="L6" s="9" t="s">
        <v>89</v>
      </c>
      <c r="M6" s="10" t="s">
        <v>72</v>
      </c>
      <c r="N6" s="8" t="s">
        <v>105</v>
      </c>
    </row>
    <row r="7" customFormat="false" ht="102.2" hidden="false" customHeight="false" outlineLevel="0" collapsed="false">
      <c r="A7" s="6" t="s">
        <v>106</v>
      </c>
      <c r="B7" s="7" t="s">
        <v>107</v>
      </c>
      <c r="C7" s="8" t="s">
        <v>91</v>
      </c>
      <c r="D7" s="8" t="s">
        <v>92</v>
      </c>
      <c r="E7" s="8" t="s">
        <v>108</v>
      </c>
      <c r="F7" s="8" t="s">
        <v>109</v>
      </c>
      <c r="G7" s="8" t="s">
        <v>110</v>
      </c>
      <c r="H7" s="8" t="s">
        <v>111</v>
      </c>
      <c r="I7" s="9" t="s">
        <v>70</v>
      </c>
      <c r="J7" s="9" t="n">
        <v>8</v>
      </c>
      <c r="K7" s="9" t="n">
        <v>1</v>
      </c>
      <c r="L7" s="9" t="s">
        <v>89</v>
      </c>
      <c r="M7" s="10" t="s">
        <v>72</v>
      </c>
      <c r="N7" s="8" t="s">
        <v>112</v>
      </c>
    </row>
    <row r="8" customFormat="false" ht="91" hidden="false" customHeight="false" outlineLevel="0" collapsed="false">
      <c r="A8" s="6" t="s">
        <v>113</v>
      </c>
      <c r="B8" s="7" t="s">
        <v>114</v>
      </c>
      <c r="C8" s="8" t="s">
        <v>91</v>
      </c>
      <c r="D8" s="8" t="s">
        <v>92</v>
      </c>
      <c r="E8" s="8" t="s">
        <v>115</v>
      </c>
      <c r="F8" s="8" t="s">
        <v>116</v>
      </c>
      <c r="G8" s="8" t="s">
        <v>117</v>
      </c>
      <c r="H8" s="8" t="s">
        <v>118</v>
      </c>
      <c r="I8" s="9" t="s">
        <v>70</v>
      </c>
      <c r="J8" s="9" t="n">
        <v>8</v>
      </c>
      <c r="K8" s="9" t="n">
        <v>2</v>
      </c>
      <c r="L8" s="9" t="s">
        <v>119</v>
      </c>
      <c r="M8" s="10" t="s">
        <v>72</v>
      </c>
      <c r="N8" s="8" t="s">
        <v>120</v>
      </c>
    </row>
    <row r="9" customFormat="false" ht="46.25" hidden="false" customHeight="false" outlineLevel="0" collapsed="false">
      <c r="A9" s="6" t="s">
        <v>121</v>
      </c>
      <c r="B9" s="7" t="s">
        <v>122</v>
      </c>
      <c r="C9" s="8" t="s">
        <v>91</v>
      </c>
      <c r="D9" s="8" t="s">
        <v>92</v>
      </c>
      <c r="E9" s="8" t="s">
        <v>123</v>
      </c>
      <c r="F9" s="8" t="s">
        <v>124</v>
      </c>
      <c r="G9" s="8" t="s">
        <v>125</v>
      </c>
      <c r="H9" s="8" t="s">
        <v>126</v>
      </c>
      <c r="I9" s="9" t="s">
        <v>70</v>
      </c>
      <c r="J9" s="9" t="n">
        <v>3</v>
      </c>
      <c r="K9" s="9" t="n">
        <v>2</v>
      </c>
      <c r="L9" s="9" t="s">
        <v>127</v>
      </c>
      <c r="M9" s="10" t="s">
        <v>72</v>
      </c>
      <c r="N9" s="8" t="s">
        <v>128</v>
      </c>
    </row>
    <row r="10" customFormat="false" ht="68.65" hidden="false" customHeight="false" outlineLevel="0" collapsed="false">
      <c r="A10" s="6" t="s">
        <v>129</v>
      </c>
      <c r="B10" s="7" t="s">
        <v>130</v>
      </c>
      <c r="C10" s="8" t="s">
        <v>131</v>
      </c>
      <c r="D10" s="8" t="s">
        <v>132</v>
      </c>
      <c r="E10" s="8" t="s">
        <v>133</v>
      </c>
      <c r="F10" s="8" t="s">
        <v>134</v>
      </c>
      <c r="G10" s="8" t="s">
        <v>135</v>
      </c>
      <c r="H10" s="8" t="s">
        <v>136</v>
      </c>
      <c r="I10" s="9" t="s">
        <v>70</v>
      </c>
      <c r="J10" s="9" t="n">
        <v>5</v>
      </c>
      <c r="K10" s="9" t="n">
        <v>2</v>
      </c>
      <c r="L10" s="9" t="s">
        <v>137</v>
      </c>
      <c r="M10" s="10" t="s">
        <v>72</v>
      </c>
      <c r="N10" s="8" t="s">
        <v>138</v>
      </c>
    </row>
    <row r="11" customFormat="false" ht="68.65" hidden="false" customHeight="false" outlineLevel="0" collapsed="false">
      <c r="A11" s="6" t="s">
        <v>139</v>
      </c>
      <c r="B11" s="7" t="s">
        <v>140</v>
      </c>
      <c r="C11" s="8" t="s">
        <v>131</v>
      </c>
      <c r="D11" s="8" t="s">
        <v>92</v>
      </c>
      <c r="E11" s="8" t="s">
        <v>141</v>
      </c>
      <c r="F11" s="8" t="s">
        <v>142</v>
      </c>
      <c r="G11" s="8" t="s">
        <v>143</v>
      </c>
      <c r="H11" s="8" t="s">
        <v>144</v>
      </c>
      <c r="I11" s="9" t="s">
        <v>70</v>
      </c>
      <c r="J11" s="9" t="n">
        <v>8</v>
      </c>
      <c r="K11" s="9" t="n">
        <v>2</v>
      </c>
      <c r="L11" s="9" t="s">
        <v>145</v>
      </c>
      <c r="M11" s="10" t="s">
        <v>72</v>
      </c>
      <c r="N11" s="8" t="s">
        <v>146</v>
      </c>
    </row>
    <row r="12" customFormat="false" ht="79.85" hidden="false" customHeight="false" outlineLevel="0" collapsed="false">
      <c r="A12" s="6" t="s">
        <v>147</v>
      </c>
      <c r="B12" s="7" t="s">
        <v>148</v>
      </c>
      <c r="C12" s="8" t="s">
        <v>131</v>
      </c>
      <c r="D12" s="8" t="s">
        <v>92</v>
      </c>
      <c r="E12" s="8" t="s">
        <v>149</v>
      </c>
      <c r="F12" s="8" t="s">
        <v>150</v>
      </c>
      <c r="G12" s="8" t="s">
        <v>151</v>
      </c>
      <c r="H12" s="8" t="s">
        <v>152</v>
      </c>
      <c r="I12" s="9" t="s">
        <v>70</v>
      </c>
      <c r="J12" s="9" t="n">
        <v>8</v>
      </c>
      <c r="K12" s="9" t="n">
        <v>2</v>
      </c>
      <c r="L12" s="9" t="s">
        <v>139</v>
      </c>
      <c r="M12" s="10" t="s">
        <v>72</v>
      </c>
      <c r="N12" s="8" t="s">
        <v>153</v>
      </c>
    </row>
    <row r="13" customFormat="false" ht="68.65" hidden="false" customHeight="false" outlineLevel="0" collapsed="false">
      <c r="A13" s="6" t="s">
        <v>154</v>
      </c>
      <c r="B13" s="7" t="s">
        <v>155</v>
      </c>
      <c r="C13" s="8" t="s">
        <v>156</v>
      </c>
      <c r="D13" s="8" t="s">
        <v>92</v>
      </c>
      <c r="E13" s="8" t="s">
        <v>157</v>
      </c>
      <c r="F13" s="8" t="s">
        <v>158</v>
      </c>
      <c r="G13" s="8" t="s">
        <v>159</v>
      </c>
      <c r="H13" s="8" t="s">
        <v>160</v>
      </c>
      <c r="I13" s="9" t="s">
        <v>70</v>
      </c>
      <c r="J13" s="9" t="n">
        <v>8</v>
      </c>
      <c r="K13" s="9" t="n">
        <v>3</v>
      </c>
      <c r="L13" s="9" t="s">
        <v>161</v>
      </c>
      <c r="M13" s="10" t="s">
        <v>72</v>
      </c>
      <c r="N13" s="8" t="s">
        <v>162</v>
      </c>
    </row>
    <row r="14" customFormat="false" ht="68.65" hidden="false" customHeight="false" outlineLevel="0" collapsed="false">
      <c r="A14" s="6" t="s">
        <v>163</v>
      </c>
      <c r="B14" s="7" t="s">
        <v>164</v>
      </c>
      <c r="C14" s="8" t="s">
        <v>156</v>
      </c>
      <c r="D14" s="8" t="s">
        <v>83</v>
      </c>
      <c r="E14" s="8" t="s">
        <v>165</v>
      </c>
      <c r="F14" s="8" t="s">
        <v>166</v>
      </c>
      <c r="G14" s="8" t="s">
        <v>167</v>
      </c>
      <c r="H14" s="8" t="s">
        <v>168</v>
      </c>
      <c r="I14" s="9" t="s">
        <v>70</v>
      </c>
      <c r="J14" s="9" t="n">
        <v>3</v>
      </c>
      <c r="K14" s="9" t="n">
        <v>3</v>
      </c>
      <c r="L14" s="9" t="s">
        <v>154</v>
      </c>
      <c r="M14" s="10" t="s">
        <v>72</v>
      </c>
      <c r="N14" s="8" t="s">
        <v>169</v>
      </c>
    </row>
    <row r="15" customFormat="false" ht="57.45" hidden="false" customHeight="false" outlineLevel="0" collapsed="false">
      <c r="A15" s="6" t="s">
        <v>170</v>
      </c>
      <c r="B15" s="7" t="s">
        <v>171</v>
      </c>
      <c r="C15" s="8" t="s">
        <v>156</v>
      </c>
      <c r="D15" s="8" t="s">
        <v>172</v>
      </c>
      <c r="E15" s="8" t="s">
        <v>173</v>
      </c>
      <c r="F15" s="8" t="s">
        <v>174</v>
      </c>
      <c r="G15" s="8" t="s">
        <v>175</v>
      </c>
      <c r="H15" s="8" t="s">
        <v>176</v>
      </c>
      <c r="I15" s="9" t="s">
        <v>70</v>
      </c>
      <c r="J15" s="9" t="n">
        <v>8</v>
      </c>
      <c r="K15" s="9" t="n">
        <v>3</v>
      </c>
      <c r="L15" s="9" t="s">
        <v>177</v>
      </c>
      <c r="M15" s="10" t="s">
        <v>72</v>
      </c>
      <c r="N15" s="8" t="s">
        <v>178</v>
      </c>
    </row>
    <row r="16" customFormat="false" ht="68.65" hidden="false" customHeight="false" outlineLevel="0" collapsed="false">
      <c r="A16" s="6" t="s">
        <v>179</v>
      </c>
      <c r="B16" s="7" t="s">
        <v>180</v>
      </c>
      <c r="C16" s="8" t="s">
        <v>181</v>
      </c>
      <c r="D16" s="8" t="s">
        <v>182</v>
      </c>
      <c r="E16" s="8" t="s">
        <v>183</v>
      </c>
      <c r="F16" s="8" t="s">
        <v>184</v>
      </c>
      <c r="G16" s="8" t="s">
        <v>185</v>
      </c>
      <c r="H16" s="8" t="s">
        <v>186</v>
      </c>
      <c r="I16" s="9" t="s">
        <v>70</v>
      </c>
      <c r="J16" s="9" t="n">
        <v>5</v>
      </c>
      <c r="K16" s="9" t="n">
        <v>3</v>
      </c>
      <c r="L16" s="9" t="s">
        <v>97</v>
      </c>
      <c r="M16" s="10" t="s">
        <v>72</v>
      </c>
      <c r="N16" s="8" t="s">
        <v>187</v>
      </c>
    </row>
    <row r="17" customFormat="false" ht="79.85" hidden="false" customHeight="false" outlineLevel="0" collapsed="false">
      <c r="A17" s="6" t="s">
        <v>188</v>
      </c>
      <c r="B17" s="7" t="s">
        <v>189</v>
      </c>
      <c r="C17" s="8" t="s">
        <v>181</v>
      </c>
      <c r="D17" s="8" t="s">
        <v>92</v>
      </c>
      <c r="E17" s="8" t="s">
        <v>190</v>
      </c>
      <c r="F17" s="8" t="s">
        <v>191</v>
      </c>
      <c r="G17" s="8" t="s">
        <v>192</v>
      </c>
      <c r="H17" s="8" t="s">
        <v>144</v>
      </c>
      <c r="I17" s="9" t="s">
        <v>70</v>
      </c>
      <c r="J17" s="9" t="n">
        <v>5</v>
      </c>
      <c r="K17" s="9" t="n">
        <v>3</v>
      </c>
      <c r="L17" s="9" t="s">
        <v>193</v>
      </c>
      <c r="M17" s="10" t="s">
        <v>72</v>
      </c>
      <c r="N17" s="8" t="s">
        <v>194</v>
      </c>
    </row>
    <row r="18" customFormat="false" ht="102.2" hidden="false" customHeight="false" outlineLevel="0" collapsed="false">
      <c r="A18" s="6" t="s">
        <v>195</v>
      </c>
      <c r="B18" s="7" t="s">
        <v>196</v>
      </c>
      <c r="C18" s="8" t="s">
        <v>197</v>
      </c>
      <c r="D18" s="8" t="s">
        <v>198</v>
      </c>
      <c r="E18" s="8" t="s">
        <v>199</v>
      </c>
      <c r="F18" s="8" t="s">
        <v>200</v>
      </c>
      <c r="G18" s="8" t="s">
        <v>201</v>
      </c>
      <c r="H18" s="8" t="s">
        <v>202</v>
      </c>
      <c r="I18" s="9" t="s">
        <v>70</v>
      </c>
      <c r="J18" s="9" t="n">
        <v>8</v>
      </c>
      <c r="K18" s="9" t="n">
        <v>4</v>
      </c>
      <c r="L18" s="9" t="s">
        <v>170</v>
      </c>
      <c r="M18" s="10" t="s">
        <v>72</v>
      </c>
      <c r="N18" s="8" t="s">
        <v>203</v>
      </c>
    </row>
    <row r="19" customFormat="false" ht="57.45" hidden="false" customHeight="false" outlineLevel="0" collapsed="false">
      <c r="A19" s="6" t="s">
        <v>204</v>
      </c>
      <c r="B19" s="7" t="s">
        <v>205</v>
      </c>
      <c r="C19" s="8" t="s">
        <v>197</v>
      </c>
      <c r="D19" s="8" t="s">
        <v>198</v>
      </c>
      <c r="E19" s="8" t="s">
        <v>206</v>
      </c>
      <c r="F19" s="8" t="s">
        <v>207</v>
      </c>
      <c r="G19" s="8" t="s">
        <v>208</v>
      </c>
      <c r="H19" s="8" t="s">
        <v>209</v>
      </c>
      <c r="I19" s="9" t="s">
        <v>70</v>
      </c>
      <c r="J19" s="9" t="n">
        <v>5</v>
      </c>
      <c r="K19" s="9" t="n">
        <v>4</v>
      </c>
      <c r="L19" s="9" t="s">
        <v>195</v>
      </c>
      <c r="M19" s="10" t="s">
        <v>72</v>
      </c>
      <c r="N19" s="8" t="s">
        <v>210</v>
      </c>
    </row>
    <row r="20" customFormat="false" ht="68.65" hidden="false" customHeight="false" outlineLevel="0" collapsed="false">
      <c r="A20" s="6" t="s">
        <v>211</v>
      </c>
      <c r="B20" s="7" t="s">
        <v>212</v>
      </c>
      <c r="C20" s="8" t="s">
        <v>197</v>
      </c>
      <c r="D20" s="8" t="s">
        <v>213</v>
      </c>
      <c r="E20" s="8" t="s">
        <v>214</v>
      </c>
      <c r="F20" s="8" t="s">
        <v>215</v>
      </c>
      <c r="G20" s="8" t="s">
        <v>216</v>
      </c>
      <c r="H20" s="8" t="s">
        <v>217</v>
      </c>
      <c r="I20" s="9" t="s">
        <v>70</v>
      </c>
      <c r="J20" s="9" t="n">
        <v>5</v>
      </c>
      <c r="K20" s="9" t="n">
        <v>4</v>
      </c>
      <c r="L20" s="9" t="s">
        <v>218</v>
      </c>
      <c r="M20" s="10" t="s">
        <v>72</v>
      </c>
      <c r="N20" s="8" t="s">
        <v>219</v>
      </c>
    </row>
    <row r="21" customFormat="false" ht="79.85" hidden="false" customHeight="false" outlineLevel="0" collapsed="false">
      <c r="A21" s="6" t="s">
        <v>220</v>
      </c>
      <c r="B21" s="7" t="s">
        <v>221</v>
      </c>
      <c r="C21" s="8" t="s">
        <v>222</v>
      </c>
      <c r="D21" s="8" t="s">
        <v>223</v>
      </c>
      <c r="E21" s="8" t="s">
        <v>224</v>
      </c>
      <c r="F21" s="8" t="s">
        <v>225</v>
      </c>
      <c r="G21" s="8" t="s">
        <v>226</v>
      </c>
      <c r="H21" s="8" t="s">
        <v>227</v>
      </c>
      <c r="I21" s="9" t="s">
        <v>70</v>
      </c>
      <c r="J21" s="9" t="n">
        <v>8</v>
      </c>
      <c r="K21" s="9" t="n">
        <v>4</v>
      </c>
      <c r="L21" s="9" t="s">
        <v>170</v>
      </c>
      <c r="M21" s="10" t="s">
        <v>72</v>
      </c>
      <c r="N21" s="8" t="s">
        <v>228</v>
      </c>
    </row>
    <row r="22" customFormat="false" ht="35.05" hidden="false" customHeight="false" outlineLevel="0" collapsed="false">
      <c r="A22" s="6" t="s">
        <v>229</v>
      </c>
      <c r="B22" s="7" t="s">
        <v>230</v>
      </c>
      <c r="C22" s="8" t="s">
        <v>222</v>
      </c>
      <c r="D22" s="8" t="s">
        <v>223</v>
      </c>
      <c r="E22" s="8" t="s">
        <v>231</v>
      </c>
      <c r="F22" s="8" t="s">
        <v>232</v>
      </c>
      <c r="G22" s="8" t="s">
        <v>233</v>
      </c>
      <c r="H22" s="8" t="s">
        <v>234</v>
      </c>
      <c r="I22" s="9" t="s">
        <v>235</v>
      </c>
      <c r="J22" s="9" t="n">
        <v>3</v>
      </c>
      <c r="K22" s="9" t="n">
        <v>4</v>
      </c>
      <c r="L22" s="9" t="s">
        <v>170</v>
      </c>
      <c r="M22" s="10" t="s">
        <v>72</v>
      </c>
      <c r="N22" s="8" t="s">
        <v>236</v>
      </c>
    </row>
    <row r="23" customFormat="false" ht="102.2" hidden="false" customHeight="false" outlineLevel="0" collapsed="false">
      <c r="A23" s="6" t="s">
        <v>237</v>
      </c>
      <c r="B23" s="7" t="s">
        <v>238</v>
      </c>
      <c r="C23" s="8" t="s">
        <v>239</v>
      </c>
      <c r="D23" s="8" t="s">
        <v>240</v>
      </c>
      <c r="E23" s="8" t="s">
        <v>241</v>
      </c>
      <c r="F23" s="8" t="s">
        <v>242</v>
      </c>
      <c r="G23" s="8" t="s">
        <v>243</v>
      </c>
      <c r="H23" s="8" t="s">
        <v>244</v>
      </c>
      <c r="I23" s="9" t="s">
        <v>70</v>
      </c>
      <c r="J23" s="9" t="n">
        <v>8</v>
      </c>
      <c r="K23" s="9" t="n">
        <v>5</v>
      </c>
      <c r="L23" s="9" t="s">
        <v>245</v>
      </c>
      <c r="M23" s="10" t="s">
        <v>72</v>
      </c>
      <c r="N23" s="8" t="s">
        <v>246</v>
      </c>
    </row>
    <row r="24" customFormat="false" ht="46.25" hidden="false" customHeight="false" outlineLevel="0" collapsed="false">
      <c r="A24" s="6" t="s">
        <v>247</v>
      </c>
      <c r="B24" s="7" t="s">
        <v>248</v>
      </c>
      <c r="C24" s="8" t="s">
        <v>239</v>
      </c>
      <c r="D24" s="8" t="s">
        <v>249</v>
      </c>
      <c r="E24" s="8" t="s">
        <v>250</v>
      </c>
      <c r="F24" s="8" t="s">
        <v>251</v>
      </c>
      <c r="G24" s="8" t="s">
        <v>252</v>
      </c>
      <c r="H24" s="8" t="s">
        <v>253</v>
      </c>
      <c r="I24" s="9" t="s">
        <v>70</v>
      </c>
      <c r="J24" s="9" t="n">
        <v>3</v>
      </c>
      <c r="K24" s="9" t="n">
        <v>5</v>
      </c>
      <c r="L24" s="9" t="s">
        <v>237</v>
      </c>
      <c r="M24" s="10" t="s">
        <v>72</v>
      </c>
      <c r="N24" s="8" t="s">
        <v>254</v>
      </c>
    </row>
    <row r="25" customFormat="false" ht="46.25" hidden="false" customHeight="false" outlineLevel="0" collapsed="false">
      <c r="A25" s="6" t="s">
        <v>255</v>
      </c>
      <c r="B25" s="7" t="s">
        <v>256</v>
      </c>
      <c r="C25" s="8" t="s">
        <v>239</v>
      </c>
      <c r="D25" s="8" t="s">
        <v>240</v>
      </c>
      <c r="E25" s="8" t="s">
        <v>257</v>
      </c>
      <c r="F25" s="8" t="s">
        <v>258</v>
      </c>
      <c r="G25" s="8" t="s">
        <v>259</v>
      </c>
      <c r="H25" s="8" t="s">
        <v>260</v>
      </c>
      <c r="I25" s="9" t="s">
        <v>261</v>
      </c>
      <c r="J25" s="9" t="n">
        <v>5</v>
      </c>
      <c r="K25" s="9" t="n">
        <v>5</v>
      </c>
      <c r="L25" s="9" t="s">
        <v>237</v>
      </c>
      <c r="M25" s="10" t="s">
        <v>72</v>
      </c>
      <c r="N25" s="8" t="s">
        <v>262</v>
      </c>
    </row>
    <row r="26" customFormat="false" ht="57.45" hidden="false" customHeight="false" outlineLevel="0" collapsed="false">
      <c r="A26" s="6" t="s">
        <v>263</v>
      </c>
      <c r="B26" s="7" t="s">
        <v>264</v>
      </c>
      <c r="C26" s="8" t="s">
        <v>265</v>
      </c>
      <c r="D26" s="8" t="s">
        <v>266</v>
      </c>
      <c r="E26" s="8" t="s">
        <v>267</v>
      </c>
      <c r="F26" s="8" t="s">
        <v>268</v>
      </c>
      <c r="G26" s="8" t="s">
        <v>269</v>
      </c>
      <c r="H26" s="8" t="s">
        <v>270</v>
      </c>
      <c r="I26" s="9" t="s">
        <v>70</v>
      </c>
      <c r="J26" s="9" t="n">
        <v>8</v>
      </c>
      <c r="K26" s="9" t="n">
        <v>5</v>
      </c>
      <c r="L26" s="9" t="s">
        <v>271</v>
      </c>
      <c r="M26" s="10" t="s">
        <v>72</v>
      </c>
      <c r="N26" s="8" t="s">
        <v>272</v>
      </c>
    </row>
    <row r="27" customFormat="false" ht="68.65" hidden="false" customHeight="false" outlineLevel="0" collapsed="false">
      <c r="A27" s="6" t="s">
        <v>273</v>
      </c>
      <c r="B27" s="7" t="s">
        <v>274</v>
      </c>
      <c r="C27" s="8" t="s">
        <v>265</v>
      </c>
      <c r="D27" s="8" t="s">
        <v>266</v>
      </c>
      <c r="E27" s="8" t="s">
        <v>275</v>
      </c>
      <c r="F27" s="8" t="s">
        <v>276</v>
      </c>
      <c r="G27" s="8" t="s">
        <v>277</v>
      </c>
      <c r="H27" s="8" t="s">
        <v>278</v>
      </c>
      <c r="I27" s="9" t="s">
        <v>70</v>
      </c>
      <c r="J27" s="9" t="n">
        <v>8</v>
      </c>
      <c r="K27" s="9" t="n">
        <v>5</v>
      </c>
      <c r="L27" s="9" t="s">
        <v>279</v>
      </c>
      <c r="M27" s="10" t="s">
        <v>72</v>
      </c>
      <c r="N27" s="8" t="s">
        <v>280</v>
      </c>
    </row>
    <row r="28" customFormat="false" ht="57.45" hidden="false" customHeight="false" outlineLevel="0" collapsed="false">
      <c r="A28" s="6" t="s">
        <v>281</v>
      </c>
      <c r="B28" s="7" t="s">
        <v>282</v>
      </c>
      <c r="C28" s="8" t="s">
        <v>283</v>
      </c>
      <c r="D28" s="8" t="s">
        <v>249</v>
      </c>
      <c r="E28" s="8" t="s">
        <v>284</v>
      </c>
      <c r="F28" s="8" t="s">
        <v>285</v>
      </c>
      <c r="G28" s="8" t="s">
        <v>286</v>
      </c>
      <c r="H28" s="8" t="s">
        <v>287</v>
      </c>
      <c r="I28" s="9" t="s">
        <v>70</v>
      </c>
      <c r="J28" s="9" t="n">
        <v>5</v>
      </c>
      <c r="K28" s="9" t="n">
        <v>6</v>
      </c>
      <c r="L28" s="9" t="s">
        <v>288</v>
      </c>
      <c r="M28" s="10" t="s">
        <v>72</v>
      </c>
      <c r="N28" s="8" t="s">
        <v>289</v>
      </c>
    </row>
    <row r="29" customFormat="false" ht="68.65" hidden="false" customHeight="false" outlineLevel="0" collapsed="false">
      <c r="A29" s="6" t="s">
        <v>290</v>
      </c>
      <c r="B29" s="7" t="s">
        <v>291</v>
      </c>
      <c r="C29" s="8" t="s">
        <v>283</v>
      </c>
      <c r="D29" s="8" t="s">
        <v>249</v>
      </c>
      <c r="E29" s="8" t="s">
        <v>292</v>
      </c>
      <c r="F29" s="8" t="s">
        <v>293</v>
      </c>
      <c r="G29" s="8" t="s">
        <v>294</v>
      </c>
      <c r="H29" s="8" t="s">
        <v>295</v>
      </c>
      <c r="I29" s="9" t="s">
        <v>261</v>
      </c>
      <c r="J29" s="9" t="n">
        <v>5</v>
      </c>
      <c r="K29" s="9" t="n">
        <v>6</v>
      </c>
      <c r="L29" s="9" t="s">
        <v>281</v>
      </c>
      <c r="M29" s="10" t="s">
        <v>72</v>
      </c>
      <c r="N29" s="8" t="s">
        <v>296</v>
      </c>
    </row>
    <row r="30" customFormat="false" ht="57.45" hidden="false" customHeight="false" outlineLevel="0" collapsed="false">
      <c r="A30" s="6" t="s">
        <v>297</v>
      </c>
      <c r="B30" s="7" t="s">
        <v>298</v>
      </c>
      <c r="C30" s="8" t="s">
        <v>299</v>
      </c>
      <c r="D30" s="8" t="s">
        <v>249</v>
      </c>
      <c r="E30" s="8" t="s">
        <v>300</v>
      </c>
      <c r="F30" s="8" t="s">
        <v>301</v>
      </c>
      <c r="G30" s="8" t="s">
        <v>302</v>
      </c>
      <c r="H30" s="8" t="s">
        <v>303</v>
      </c>
      <c r="I30" s="9" t="s">
        <v>70</v>
      </c>
      <c r="J30" s="9" t="n">
        <v>8</v>
      </c>
      <c r="K30" s="9" t="n">
        <v>6</v>
      </c>
      <c r="L30" s="9" t="s">
        <v>304</v>
      </c>
      <c r="M30" s="10" t="s">
        <v>72</v>
      </c>
      <c r="N30" s="8" t="s">
        <v>305</v>
      </c>
    </row>
    <row r="31" customFormat="false" ht="46.25" hidden="false" customHeight="false" outlineLevel="0" collapsed="false">
      <c r="A31" s="6" t="s">
        <v>306</v>
      </c>
      <c r="B31" s="7" t="s">
        <v>307</v>
      </c>
      <c r="C31" s="8" t="s">
        <v>299</v>
      </c>
      <c r="D31" s="8" t="s">
        <v>65</v>
      </c>
      <c r="E31" s="8" t="s">
        <v>308</v>
      </c>
      <c r="F31" s="8" t="s">
        <v>309</v>
      </c>
      <c r="G31" s="8" t="s">
        <v>310</v>
      </c>
      <c r="H31" s="8" t="s">
        <v>311</v>
      </c>
      <c r="I31" s="9" t="s">
        <v>261</v>
      </c>
      <c r="J31" s="9" t="n">
        <v>3</v>
      </c>
      <c r="K31" s="9" t="n">
        <v>6</v>
      </c>
      <c r="L31" s="9" t="s">
        <v>312</v>
      </c>
      <c r="M31" s="10" t="s">
        <v>72</v>
      </c>
      <c r="N31" s="8" t="s">
        <v>313</v>
      </c>
    </row>
    <row r="32" customFormat="false" ht="57.45" hidden="false" customHeight="false" outlineLevel="0" collapsed="false">
      <c r="A32" s="6" t="s">
        <v>314</v>
      </c>
      <c r="B32" s="7" t="s">
        <v>315</v>
      </c>
      <c r="C32" s="8" t="s">
        <v>299</v>
      </c>
      <c r="D32" s="8" t="s">
        <v>65</v>
      </c>
      <c r="E32" s="8" t="s">
        <v>316</v>
      </c>
      <c r="F32" s="8" t="s">
        <v>317</v>
      </c>
      <c r="G32" s="8" t="s">
        <v>318</v>
      </c>
      <c r="H32" s="8" t="s">
        <v>319</v>
      </c>
      <c r="I32" s="9" t="s">
        <v>261</v>
      </c>
      <c r="J32" s="9" t="n">
        <v>3</v>
      </c>
      <c r="K32" s="9" t="n">
        <v>6</v>
      </c>
      <c r="L32" s="9" t="s">
        <v>62</v>
      </c>
      <c r="M32" s="10" t="s">
        <v>72</v>
      </c>
      <c r="N32" s="8" t="s">
        <v>320</v>
      </c>
    </row>
    <row r="33" customFormat="false" ht="79.85" hidden="false" customHeight="false" outlineLevel="0" collapsed="false">
      <c r="A33" s="6" t="s">
        <v>321</v>
      </c>
      <c r="B33" s="7" t="s">
        <v>322</v>
      </c>
      <c r="C33" s="8" t="s">
        <v>299</v>
      </c>
      <c r="D33" s="8" t="s">
        <v>65</v>
      </c>
      <c r="E33" s="8" t="s">
        <v>323</v>
      </c>
      <c r="F33" s="8" t="s">
        <v>324</v>
      </c>
      <c r="G33" s="8" t="s">
        <v>325</v>
      </c>
      <c r="H33" s="8" t="s">
        <v>326</v>
      </c>
      <c r="I33" s="9" t="s">
        <v>261</v>
      </c>
      <c r="J33" s="9" t="n">
        <v>8</v>
      </c>
      <c r="K33" s="9" t="n">
        <v>6</v>
      </c>
      <c r="L33" s="9" t="s">
        <v>327</v>
      </c>
      <c r="M33" s="10" t="s">
        <v>72</v>
      </c>
      <c r="N33" s="8" t="s">
        <v>328</v>
      </c>
    </row>
    <row r="34" customFormat="false" ht="68.65" hidden="false" customHeight="false" outlineLevel="0" collapsed="false">
      <c r="A34" s="6" t="s">
        <v>329</v>
      </c>
      <c r="B34" s="7" t="s">
        <v>330</v>
      </c>
      <c r="C34" s="8" t="s">
        <v>299</v>
      </c>
      <c r="D34" s="8" t="s">
        <v>65</v>
      </c>
      <c r="E34" s="8" t="s">
        <v>331</v>
      </c>
      <c r="F34" s="8" t="s">
        <v>332</v>
      </c>
      <c r="G34" s="8" t="s">
        <v>333</v>
      </c>
      <c r="H34" s="8" t="s">
        <v>334</v>
      </c>
      <c r="I34" s="9" t="s">
        <v>70</v>
      </c>
      <c r="J34" s="9" t="n">
        <v>3</v>
      </c>
      <c r="K34" s="9" t="n">
        <v>6</v>
      </c>
      <c r="L34" s="9" t="s">
        <v>335</v>
      </c>
      <c r="M34" s="10" t="s">
        <v>72</v>
      </c>
      <c r="N34" s="8" t="s">
        <v>336</v>
      </c>
    </row>
  </sheetData>
  <autoFilter ref="A1:N34"/>
  <conditionalFormatting sqref="M2:M34">
    <cfRule type="cellIs" priority="2" operator="equal" aboveAverage="0" equalAverage="0" bottom="0" percent="0" rank="0" text="" dxfId="4">
      <formula>"Done"</formula>
    </cfRule>
    <cfRule type="cellIs" priority="3" operator="equal" aboveAverage="0" equalAverage="0" bottom="0" percent="0" rank="0" text="" dxfId="5">
      <formula>"In Progress"</formula>
    </cfRule>
    <cfRule type="cellIs" priority="4" operator="equal" aboveAverage="0" equalAverage="0" bottom="0" percent="0" rank="0" text="" dxfId="6">
      <formula>"Blocked"</formula>
    </cfRule>
  </conditionalFormatting>
  <dataValidations count="4">
    <dataValidation allowBlank="false" errorStyle="stop" operator="between" showDropDown="false" showErrorMessage="false" showInputMessage="false" sqref="M2:M34" type="list">
      <formula1>"Not Started,In Progress,In Review,Blocked,Done"</formula1>
      <formula2>0</formula2>
    </dataValidation>
    <dataValidation allowBlank="false" errorStyle="stop" operator="between" showDropDown="false" showErrorMessage="false" showInputMessage="false" sqref="I2:I34" type="list">
      <formula1>"Must,Should,Could"</formula1>
      <formula2>0</formula2>
    </dataValidation>
    <dataValidation allowBlank="false" errorStyle="stop" operator="between" showDropDown="false" showErrorMessage="false" showInputMessage="false" sqref="J2:J34" type="list">
      <formula1>"1,2,3,5,8,13"</formula1>
      <formula2>0</formula2>
    </dataValidation>
    <dataValidation allowBlank="false" errorStyle="stop" operator="between" showDropDown="false" showErrorMessage="false" showInputMessage="false" sqref="K2:K34" type="list">
      <formula1>"1,2,3,4,5,6,7"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2"/>
    <col collapsed="false" customWidth="true" hidden="false" outlineLevel="0" max="5" min="4" style="0" width="14"/>
    <col collapsed="false" customWidth="true" hidden="false" outlineLevel="0" max="6" min="6" style="0" width="16"/>
  </cols>
  <sheetData>
    <row r="1" customFormat="false" ht="17.35" hidden="false" customHeight="false" outlineLevel="0" collapsed="false">
      <c r="A1" s="1" t="s">
        <v>337</v>
      </c>
    </row>
    <row r="3" customFormat="false" ht="15" hidden="false" customHeight="false" outlineLevel="0" collapsed="false">
      <c r="A3" s="2" t="s">
        <v>338</v>
      </c>
    </row>
    <row r="4" customFormat="false" ht="23.85" hidden="false" customHeight="false" outlineLevel="0" collapsed="false">
      <c r="A4" s="5" t="s">
        <v>51</v>
      </c>
      <c r="B4" s="5" t="s">
        <v>339</v>
      </c>
      <c r="C4" s="5" t="s">
        <v>340</v>
      </c>
      <c r="D4" s="5" t="s">
        <v>341</v>
      </c>
      <c r="E4" s="5" t="s">
        <v>342</v>
      </c>
      <c r="F4" s="5" t="s">
        <v>343</v>
      </c>
    </row>
    <row r="5" customFormat="false" ht="15" hidden="false" customHeight="false" outlineLevel="0" collapsed="false">
      <c r="A5" s="11" t="s">
        <v>64</v>
      </c>
      <c r="B5" s="12" t="n">
        <f aca="false">COUNTIF(Backlog!$C$2:$C$34,$A5)</f>
        <v>3</v>
      </c>
      <c r="C5" s="12" t="n">
        <f aca="false">SUMIF(Backlog!$C$2:$C$34,$A5,Backlog!$J$2:$J$34)</f>
        <v>8</v>
      </c>
      <c r="D5" s="12" t="n">
        <f aca="false">COUNTIFS(Backlog!$C$2:$C$34,$A5,Backlog!$M$2:$M$34,"Done")</f>
        <v>0</v>
      </c>
      <c r="E5" s="12" t="n">
        <f aca="false">SUMIFS(Backlog!$J$2:$J$34,Backlog!$C$2:$C$34,$A5,Backlog!$M$2:$M$34,"Done")</f>
        <v>0</v>
      </c>
      <c r="F5" s="13" t="n">
        <f aca="false">IF(C5=0,0,E5/C5)</f>
        <v>0</v>
      </c>
    </row>
    <row r="6" customFormat="false" ht="15" hidden="false" customHeight="false" outlineLevel="0" collapsed="false">
      <c r="A6" s="11" t="s">
        <v>91</v>
      </c>
      <c r="B6" s="12" t="n">
        <f aca="false">COUNTIF(Backlog!$C$2:$C$34,$A6)</f>
        <v>5</v>
      </c>
      <c r="C6" s="12" t="n">
        <f aca="false">SUMIF(Backlog!$C$2:$C$34,$A6,Backlog!$J$2:$J$34)</f>
        <v>32</v>
      </c>
      <c r="D6" s="12" t="n">
        <f aca="false">COUNTIFS(Backlog!$C$2:$C$34,$A6,Backlog!$M$2:$M$34,"Done")</f>
        <v>0</v>
      </c>
      <c r="E6" s="12" t="n">
        <f aca="false">SUMIFS(Backlog!$J$2:$J$34,Backlog!$C$2:$C$34,$A6,Backlog!$M$2:$M$34,"Done")</f>
        <v>0</v>
      </c>
      <c r="F6" s="13" t="n">
        <f aca="false">IF(C6=0,0,E6/C6)</f>
        <v>0</v>
      </c>
    </row>
    <row r="7" customFormat="false" ht="15" hidden="false" customHeight="false" outlineLevel="0" collapsed="false">
      <c r="A7" s="11" t="s">
        <v>131</v>
      </c>
      <c r="B7" s="12" t="n">
        <f aca="false">COUNTIF(Backlog!$C$2:$C$34,$A7)</f>
        <v>3</v>
      </c>
      <c r="C7" s="12" t="n">
        <f aca="false">SUMIF(Backlog!$C$2:$C$34,$A7,Backlog!$J$2:$J$34)</f>
        <v>21</v>
      </c>
      <c r="D7" s="12" t="n">
        <f aca="false">COUNTIFS(Backlog!$C$2:$C$34,$A7,Backlog!$M$2:$M$34,"Done")</f>
        <v>0</v>
      </c>
      <c r="E7" s="12" t="n">
        <f aca="false">SUMIFS(Backlog!$J$2:$J$34,Backlog!$C$2:$C$34,$A7,Backlog!$M$2:$M$34,"Done")</f>
        <v>0</v>
      </c>
      <c r="F7" s="13" t="n">
        <f aca="false">IF(C7=0,0,E7/C7)</f>
        <v>0</v>
      </c>
    </row>
    <row r="8" customFormat="false" ht="15" hidden="false" customHeight="false" outlineLevel="0" collapsed="false">
      <c r="A8" s="11" t="s">
        <v>156</v>
      </c>
      <c r="B8" s="12" t="n">
        <f aca="false">COUNTIF(Backlog!$C$2:$C$34,$A8)</f>
        <v>3</v>
      </c>
      <c r="C8" s="12" t="n">
        <f aca="false">SUMIF(Backlog!$C$2:$C$34,$A8,Backlog!$J$2:$J$34)</f>
        <v>19</v>
      </c>
      <c r="D8" s="12" t="n">
        <f aca="false">COUNTIFS(Backlog!$C$2:$C$34,$A8,Backlog!$M$2:$M$34,"Done")</f>
        <v>0</v>
      </c>
      <c r="E8" s="12" t="n">
        <f aca="false">SUMIFS(Backlog!$J$2:$J$34,Backlog!$C$2:$C$34,$A8,Backlog!$M$2:$M$34,"Done")</f>
        <v>0</v>
      </c>
      <c r="F8" s="13" t="n">
        <f aca="false">IF(C8=0,0,E8/C8)</f>
        <v>0</v>
      </c>
    </row>
    <row r="9" customFormat="false" ht="15" hidden="false" customHeight="false" outlineLevel="0" collapsed="false">
      <c r="A9" s="11" t="s">
        <v>181</v>
      </c>
      <c r="B9" s="12" t="n">
        <f aca="false">COUNTIF(Backlog!$C$2:$C$34,$A9)</f>
        <v>2</v>
      </c>
      <c r="C9" s="12" t="n">
        <f aca="false">SUMIF(Backlog!$C$2:$C$34,$A9,Backlog!$J$2:$J$34)</f>
        <v>10</v>
      </c>
      <c r="D9" s="12" t="n">
        <f aca="false">COUNTIFS(Backlog!$C$2:$C$34,$A9,Backlog!$M$2:$M$34,"Done")</f>
        <v>0</v>
      </c>
      <c r="E9" s="12" t="n">
        <f aca="false">SUMIFS(Backlog!$J$2:$J$34,Backlog!$C$2:$C$34,$A9,Backlog!$M$2:$M$34,"Done")</f>
        <v>0</v>
      </c>
      <c r="F9" s="13" t="n">
        <f aca="false">IF(C9=0,0,E9/C9)</f>
        <v>0</v>
      </c>
    </row>
    <row r="10" customFormat="false" ht="15" hidden="false" customHeight="false" outlineLevel="0" collapsed="false">
      <c r="A10" s="11" t="s">
        <v>197</v>
      </c>
      <c r="B10" s="12" t="n">
        <f aca="false">COUNTIF(Backlog!$C$2:$C$34,$A10)</f>
        <v>3</v>
      </c>
      <c r="C10" s="12" t="n">
        <f aca="false">SUMIF(Backlog!$C$2:$C$34,$A10,Backlog!$J$2:$J$34)</f>
        <v>18</v>
      </c>
      <c r="D10" s="12" t="n">
        <f aca="false">COUNTIFS(Backlog!$C$2:$C$34,$A10,Backlog!$M$2:$M$34,"Done")</f>
        <v>0</v>
      </c>
      <c r="E10" s="12" t="n">
        <f aca="false">SUMIFS(Backlog!$J$2:$J$34,Backlog!$C$2:$C$34,$A10,Backlog!$M$2:$M$34,"Done")</f>
        <v>0</v>
      </c>
      <c r="F10" s="13" t="n">
        <f aca="false">IF(C10=0,0,E10/C10)</f>
        <v>0</v>
      </c>
    </row>
    <row r="11" customFormat="false" ht="15" hidden="false" customHeight="false" outlineLevel="0" collapsed="false">
      <c r="A11" s="11" t="s">
        <v>222</v>
      </c>
      <c r="B11" s="12" t="n">
        <f aca="false">COUNTIF(Backlog!$C$2:$C$34,$A11)</f>
        <v>2</v>
      </c>
      <c r="C11" s="12" t="n">
        <f aca="false">SUMIF(Backlog!$C$2:$C$34,$A11,Backlog!$J$2:$J$34)</f>
        <v>11</v>
      </c>
      <c r="D11" s="12" t="n">
        <f aca="false">COUNTIFS(Backlog!$C$2:$C$34,$A11,Backlog!$M$2:$M$34,"Done")</f>
        <v>0</v>
      </c>
      <c r="E11" s="12" t="n">
        <f aca="false">SUMIFS(Backlog!$J$2:$J$34,Backlog!$C$2:$C$34,$A11,Backlog!$M$2:$M$34,"Done")</f>
        <v>0</v>
      </c>
      <c r="F11" s="13" t="n">
        <f aca="false">IF(C11=0,0,E11/C11)</f>
        <v>0</v>
      </c>
    </row>
    <row r="12" customFormat="false" ht="15" hidden="false" customHeight="false" outlineLevel="0" collapsed="false">
      <c r="A12" s="11" t="s">
        <v>239</v>
      </c>
      <c r="B12" s="12" t="n">
        <f aca="false">COUNTIF(Backlog!$C$2:$C$34,$A12)</f>
        <v>3</v>
      </c>
      <c r="C12" s="12" t="n">
        <f aca="false">SUMIF(Backlog!$C$2:$C$34,$A12,Backlog!$J$2:$J$34)</f>
        <v>16</v>
      </c>
      <c r="D12" s="12" t="n">
        <f aca="false">COUNTIFS(Backlog!$C$2:$C$34,$A12,Backlog!$M$2:$M$34,"Done")</f>
        <v>0</v>
      </c>
      <c r="E12" s="12" t="n">
        <f aca="false">SUMIFS(Backlog!$J$2:$J$34,Backlog!$C$2:$C$34,$A12,Backlog!$M$2:$M$34,"Done")</f>
        <v>0</v>
      </c>
      <c r="F12" s="13" t="n">
        <f aca="false">IF(C12=0,0,E12/C12)</f>
        <v>0</v>
      </c>
    </row>
    <row r="13" customFormat="false" ht="15" hidden="false" customHeight="false" outlineLevel="0" collapsed="false">
      <c r="A13" s="11" t="s">
        <v>265</v>
      </c>
      <c r="B13" s="12" t="n">
        <f aca="false">COUNTIF(Backlog!$C$2:$C$34,$A13)</f>
        <v>2</v>
      </c>
      <c r="C13" s="12" t="n">
        <f aca="false">SUMIF(Backlog!$C$2:$C$34,$A13,Backlog!$J$2:$J$34)</f>
        <v>16</v>
      </c>
      <c r="D13" s="12" t="n">
        <f aca="false">COUNTIFS(Backlog!$C$2:$C$34,$A13,Backlog!$M$2:$M$34,"Done")</f>
        <v>0</v>
      </c>
      <c r="E13" s="12" t="n">
        <f aca="false">SUMIFS(Backlog!$J$2:$J$34,Backlog!$C$2:$C$34,$A13,Backlog!$M$2:$M$34,"Done")</f>
        <v>0</v>
      </c>
      <c r="F13" s="13" t="n">
        <f aca="false">IF(C13=0,0,E13/C13)</f>
        <v>0</v>
      </c>
    </row>
    <row r="14" customFormat="false" ht="15" hidden="false" customHeight="false" outlineLevel="0" collapsed="false">
      <c r="A14" s="11" t="s">
        <v>283</v>
      </c>
      <c r="B14" s="12" t="n">
        <f aca="false">COUNTIF(Backlog!$C$2:$C$34,$A14)</f>
        <v>2</v>
      </c>
      <c r="C14" s="12" t="n">
        <f aca="false">SUMIF(Backlog!$C$2:$C$34,$A14,Backlog!$J$2:$J$34)</f>
        <v>10</v>
      </c>
      <c r="D14" s="12" t="n">
        <f aca="false">COUNTIFS(Backlog!$C$2:$C$34,$A14,Backlog!$M$2:$M$34,"Done")</f>
        <v>0</v>
      </c>
      <c r="E14" s="12" t="n">
        <f aca="false">SUMIFS(Backlog!$J$2:$J$34,Backlog!$C$2:$C$34,$A14,Backlog!$M$2:$M$34,"Done")</f>
        <v>0</v>
      </c>
      <c r="F14" s="13" t="n">
        <f aca="false">IF(C14=0,0,E14/C14)</f>
        <v>0</v>
      </c>
    </row>
    <row r="15" customFormat="false" ht="15" hidden="false" customHeight="false" outlineLevel="0" collapsed="false">
      <c r="A15" s="11" t="s">
        <v>299</v>
      </c>
      <c r="B15" s="12" t="n">
        <f aca="false">COUNTIF(Backlog!$C$2:$C$34,$A15)</f>
        <v>5</v>
      </c>
      <c r="C15" s="12" t="n">
        <f aca="false">SUMIF(Backlog!$C$2:$C$34,$A15,Backlog!$J$2:$J$34)</f>
        <v>25</v>
      </c>
      <c r="D15" s="12" t="n">
        <f aca="false">COUNTIFS(Backlog!$C$2:$C$34,$A15,Backlog!$M$2:$M$34,"Done")</f>
        <v>0</v>
      </c>
      <c r="E15" s="12" t="n">
        <f aca="false">SUMIFS(Backlog!$J$2:$J$34,Backlog!$C$2:$C$34,$A15,Backlog!$M$2:$M$34,"Done")</f>
        <v>0</v>
      </c>
      <c r="F15" s="13" t="n">
        <f aca="false">IF(C15=0,0,E15/C15)</f>
        <v>0</v>
      </c>
    </row>
    <row r="16" customFormat="false" ht="15" hidden="false" customHeight="false" outlineLevel="0" collapsed="false">
      <c r="A16" s="14" t="s">
        <v>344</v>
      </c>
      <c r="B16" s="15" t="n">
        <f aca="false">SUM(B5:B15)</f>
        <v>33</v>
      </c>
      <c r="C16" s="15" t="n">
        <f aca="false">SUM(C5:C15)</f>
        <v>186</v>
      </c>
      <c r="D16" s="15" t="n">
        <f aca="false">SUM(D5:D15)</f>
        <v>0</v>
      </c>
      <c r="E16" s="15" t="n">
        <f aca="false">SUM(E5:E15)</f>
        <v>0</v>
      </c>
      <c r="F16" s="16" t="n">
        <f aca="false">IF(C16=0,0,E16/C16)</f>
        <v>0</v>
      </c>
    </row>
    <row r="18" customFormat="false" ht="15" hidden="false" customHeight="false" outlineLevel="0" collapsed="false">
      <c r="A18" s="2" t="s">
        <v>345</v>
      </c>
    </row>
    <row r="19" customFormat="false" ht="23.85" hidden="false" customHeight="false" outlineLevel="0" collapsed="false">
      <c r="A19" s="5" t="s">
        <v>58</v>
      </c>
      <c r="B19" s="5" t="s">
        <v>339</v>
      </c>
      <c r="C19" s="5" t="s">
        <v>340</v>
      </c>
      <c r="D19" s="5" t="s">
        <v>341</v>
      </c>
      <c r="E19" s="5" t="s">
        <v>342</v>
      </c>
      <c r="F19" s="5" t="s">
        <v>343</v>
      </c>
    </row>
    <row r="20" customFormat="false" ht="15" hidden="false" customHeight="false" outlineLevel="0" collapsed="false">
      <c r="A20" s="12" t="n">
        <v>1</v>
      </c>
      <c r="B20" s="12" t="n">
        <f aca="false">COUNTIF(Backlog!$K$2:$K$34,$A20)</f>
        <v>6</v>
      </c>
      <c r="C20" s="12" t="n">
        <f aca="false">SUMIF(Backlog!$K$2:$K$34,$A20,Backlog!$J$2:$J$34)</f>
        <v>29</v>
      </c>
      <c r="D20" s="12" t="n">
        <f aca="false">COUNTIFS(Backlog!$K$2:$K$34,$A20,Backlog!$M$2:$M$34,"Done")</f>
        <v>0</v>
      </c>
      <c r="E20" s="12" t="n">
        <f aca="false">SUMIFS(Backlog!$J$2:$J$34,Backlog!$K$2:$K$34,$A20,Backlog!$M$2:$M$34,"Done")</f>
        <v>0</v>
      </c>
      <c r="F20" s="13" t="n">
        <f aca="false">IF(C20=0,0,E20/C20)</f>
        <v>0</v>
      </c>
    </row>
    <row r="21" customFormat="false" ht="15" hidden="false" customHeight="false" outlineLevel="0" collapsed="false">
      <c r="A21" s="12" t="n">
        <v>2</v>
      </c>
      <c r="B21" s="12" t="n">
        <f aca="false">COUNTIF(Backlog!$K$2:$K$34,$A21)</f>
        <v>5</v>
      </c>
      <c r="C21" s="12" t="n">
        <f aca="false">SUMIF(Backlog!$K$2:$K$34,$A21,Backlog!$J$2:$J$34)</f>
        <v>32</v>
      </c>
      <c r="D21" s="12" t="n">
        <f aca="false">COUNTIFS(Backlog!$K$2:$K$34,$A21,Backlog!$M$2:$M$34,"Done")</f>
        <v>0</v>
      </c>
      <c r="E21" s="12" t="n">
        <f aca="false">SUMIFS(Backlog!$J$2:$J$34,Backlog!$K$2:$K$34,$A21,Backlog!$M$2:$M$34,"Done")</f>
        <v>0</v>
      </c>
      <c r="F21" s="13" t="n">
        <f aca="false">IF(C21=0,0,E21/C21)</f>
        <v>0</v>
      </c>
    </row>
    <row r="22" customFormat="false" ht="15" hidden="false" customHeight="false" outlineLevel="0" collapsed="false">
      <c r="A22" s="12" t="n">
        <v>3</v>
      </c>
      <c r="B22" s="12" t="n">
        <f aca="false">COUNTIF(Backlog!$K$2:$K$34,$A22)</f>
        <v>5</v>
      </c>
      <c r="C22" s="12" t="n">
        <f aca="false">SUMIF(Backlog!$K$2:$K$34,$A22,Backlog!$J$2:$J$34)</f>
        <v>29</v>
      </c>
      <c r="D22" s="12" t="n">
        <f aca="false">COUNTIFS(Backlog!$K$2:$K$34,$A22,Backlog!$M$2:$M$34,"Done")</f>
        <v>0</v>
      </c>
      <c r="E22" s="12" t="n">
        <f aca="false">SUMIFS(Backlog!$J$2:$J$34,Backlog!$K$2:$K$34,$A22,Backlog!$M$2:$M$34,"Done")</f>
        <v>0</v>
      </c>
      <c r="F22" s="13" t="n">
        <f aca="false">IF(C22=0,0,E22/C22)</f>
        <v>0</v>
      </c>
    </row>
    <row r="23" customFormat="false" ht="15" hidden="false" customHeight="false" outlineLevel="0" collapsed="false">
      <c r="A23" s="12" t="n">
        <v>4</v>
      </c>
      <c r="B23" s="12" t="n">
        <f aca="false">COUNTIF(Backlog!$K$2:$K$34,$A23)</f>
        <v>5</v>
      </c>
      <c r="C23" s="12" t="n">
        <f aca="false">SUMIF(Backlog!$K$2:$K$34,$A23,Backlog!$J$2:$J$34)</f>
        <v>29</v>
      </c>
      <c r="D23" s="12" t="n">
        <f aca="false">COUNTIFS(Backlog!$K$2:$K$34,$A23,Backlog!$M$2:$M$34,"Done")</f>
        <v>0</v>
      </c>
      <c r="E23" s="12" t="n">
        <f aca="false">SUMIFS(Backlog!$J$2:$J$34,Backlog!$K$2:$K$34,$A23,Backlog!$M$2:$M$34,"Done")</f>
        <v>0</v>
      </c>
      <c r="F23" s="13" t="n">
        <f aca="false">IF(C23=0,0,E23/C23)</f>
        <v>0</v>
      </c>
    </row>
    <row r="24" customFormat="false" ht="15" hidden="false" customHeight="false" outlineLevel="0" collapsed="false">
      <c r="A24" s="12" t="n">
        <v>5</v>
      </c>
      <c r="B24" s="12" t="n">
        <f aca="false">COUNTIF(Backlog!$K$2:$K$34,$A24)</f>
        <v>5</v>
      </c>
      <c r="C24" s="12" t="n">
        <f aca="false">SUMIF(Backlog!$K$2:$K$34,$A24,Backlog!$J$2:$J$34)</f>
        <v>32</v>
      </c>
      <c r="D24" s="12" t="n">
        <f aca="false">COUNTIFS(Backlog!$K$2:$K$34,$A24,Backlog!$M$2:$M$34,"Done")</f>
        <v>0</v>
      </c>
      <c r="E24" s="12" t="n">
        <f aca="false">SUMIFS(Backlog!$J$2:$J$34,Backlog!$K$2:$K$34,$A24,Backlog!$M$2:$M$34,"Done")</f>
        <v>0</v>
      </c>
      <c r="F24" s="13" t="n">
        <f aca="false">IF(C24=0,0,E24/C24)</f>
        <v>0</v>
      </c>
    </row>
    <row r="25" customFormat="false" ht="15" hidden="false" customHeight="false" outlineLevel="0" collapsed="false">
      <c r="A25" s="12" t="n">
        <v>6</v>
      </c>
      <c r="B25" s="12" t="n">
        <f aca="false">COUNTIF(Backlog!$K$2:$K$34,$A25)</f>
        <v>7</v>
      </c>
      <c r="C25" s="12" t="n">
        <f aca="false">SUMIF(Backlog!$K$2:$K$34,$A25,Backlog!$J$2:$J$34)</f>
        <v>35</v>
      </c>
      <c r="D25" s="12" t="n">
        <f aca="false">COUNTIFS(Backlog!$K$2:$K$34,$A25,Backlog!$M$2:$M$34,"Done")</f>
        <v>0</v>
      </c>
      <c r="E25" s="12" t="n">
        <f aca="false">SUMIFS(Backlog!$J$2:$J$34,Backlog!$K$2:$K$34,$A25,Backlog!$M$2:$M$34,"Done")</f>
        <v>0</v>
      </c>
      <c r="F25" s="13" t="n">
        <f aca="false">IF(C25=0,0,E25/C25)</f>
        <v>0</v>
      </c>
    </row>
    <row r="26" customFormat="false" ht="15" hidden="false" customHeight="false" outlineLevel="0" collapsed="false">
      <c r="A26" s="17" t="s">
        <v>344</v>
      </c>
      <c r="B26" s="15" t="n">
        <f aca="false">SUM(B20:B25)</f>
        <v>33</v>
      </c>
      <c r="C26" s="15" t="n">
        <f aca="false">SUM(C20:C25)</f>
        <v>186</v>
      </c>
      <c r="D26" s="15" t="n">
        <f aca="false">SUM(D20:D25)</f>
        <v>0</v>
      </c>
      <c r="E26" s="15" t="n">
        <f aca="false">SUM(E20:E25)</f>
        <v>0</v>
      </c>
      <c r="F26" s="16" t="n">
        <f aca="false">IF(C26=0,0,E26/C26)</f>
        <v>0</v>
      </c>
    </row>
    <row r="28" customFormat="false" ht="15" hidden="false" customHeight="false" outlineLevel="0" collapsed="false">
      <c r="A28" s="2" t="s">
        <v>346</v>
      </c>
    </row>
    <row r="29" customFormat="false" ht="23.85" hidden="false" customHeight="false" outlineLevel="0" collapsed="false">
      <c r="A29" s="5" t="s">
        <v>41</v>
      </c>
      <c r="B29" s="5" t="s">
        <v>339</v>
      </c>
      <c r="C29" s="5" t="s">
        <v>340</v>
      </c>
      <c r="D29" s="5" t="s">
        <v>341</v>
      </c>
      <c r="E29" s="5" t="s">
        <v>342</v>
      </c>
      <c r="F29" s="5" t="s">
        <v>343</v>
      </c>
    </row>
    <row r="30" customFormat="false" ht="15" hidden="false" customHeight="false" outlineLevel="0" collapsed="false">
      <c r="A30" s="11" t="s">
        <v>70</v>
      </c>
      <c r="B30" s="12" t="n">
        <f aca="false">COUNTIF(Backlog!$I$2:$I$34,$A30)</f>
        <v>27</v>
      </c>
      <c r="C30" s="12" t="n">
        <f aca="false">SUMIF(Backlog!$I$2:$I$34,$A30,Backlog!$J$2:$J$34)</f>
        <v>159</v>
      </c>
      <c r="D30" s="12" t="n">
        <f aca="false">COUNTIFS(Backlog!$I$2:$I$34,$A30,Backlog!$M$2:$M$34,"Done")</f>
        <v>0</v>
      </c>
      <c r="E30" s="12" t="n">
        <f aca="false">SUMIFS(Backlog!$J$2:$J$34,Backlog!$I$2:$I$34,$A30,Backlog!$M$2:$M$34,"Done")</f>
        <v>0</v>
      </c>
      <c r="F30" s="13" t="n">
        <f aca="false">IF(C30=0,0,E30/C30)</f>
        <v>0</v>
      </c>
    </row>
    <row r="31" customFormat="false" ht="15" hidden="false" customHeight="false" outlineLevel="0" collapsed="false">
      <c r="A31" s="11" t="s">
        <v>261</v>
      </c>
      <c r="B31" s="12" t="n">
        <f aca="false">COUNTIF(Backlog!$I$2:$I$34,$A31)</f>
        <v>5</v>
      </c>
      <c r="C31" s="12" t="n">
        <f aca="false">SUMIF(Backlog!$I$2:$I$34,$A31,Backlog!$J$2:$J$34)</f>
        <v>24</v>
      </c>
      <c r="D31" s="12" t="n">
        <f aca="false">COUNTIFS(Backlog!$I$2:$I$34,$A31,Backlog!$M$2:$M$34,"Done")</f>
        <v>0</v>
      </c>
      <c r="E31" s="12" t="n">
        <f aca="false">SUMIFS(Backlog!$J$2:$J$34,Backlog!$I$2:$I$34,$A31,Backlog!$M$2:$M$34,"Done")</f>
        <v>0</v>
      </c>
      <c r="F31" s="13" t="n">
        <f aca="false">IF(C31=0,0,E31/C31)</f>
        <v>0</v>
      </c>
    </row>
    <row r="32" customFormat="false" ht="15" hidden="false" customHeight="false" outlineLevel="0" collapsed="false">
      <c r="A32" s="11" t="s">
        <v>235</v>
      </c>
      <c r="B32" s="12" t="n">
        <f aca="false">COUNTIF(Backlog!$I$2:$I$34,$A32)</f>
        <v>1</v>
      </c>
      <c r="C32" s="12" t="n">
        <f aca="false">SUMIF(Backlog!$I$2:$I$34,$A32,Backlog!$J$2:$J$34)</f>
        <v>3</v>
      </c>
      <c r="D32" s="12" t="n">
        <f aca="false">COUNTIFS(Backlog!$I$2:$I$34,$A32,Backlog!$M$2:$M$34,"Done")</f>
        <v>0</v>
      </c>
      <c r="E32" s="12" t="n">
        <f aca="false">SUMIFS(Backlog!$J$2:$J$34,Backlog!$I$2:$I$34,$A32,Backlog!$M$2:$M$34,"Done")</f>
        <v>0</v>
      </c>
      <c r="F32" s="13" t="n">
        <f aca="false">IF(C32=0,0,E32/C32)</f>
        <v>0</v>
      </c>
    </row>
    <row r="34" customFormat="false" ht="15" hidden="false" customHeight="false" outlineLevel="0" collapsed="false">
      <c r="A34" s="18" t="s">
        <v>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32"/>
    <col collapsed="false" customWidth="true" hidden="false" outlineLevel="0" max="4" min="4" style="0" width="58"/>
    <col collapsed="false" customWidth="true" hidden="false" outlineLevel="0" max="5" min="5" style="0" width="62"/>
    <col collapsed="false" customWidth="true" hidden="false" outlineLevel="0" max="6" min="6" style="0" width="34"/>
    <col collapsed="false" customWidth="true" hidden="false" outlineLevel="0" max="7" min="7" style="0" width="22"/>
    <col collapsed="false" customWidth="true" hidden="false" outlineLevel="0" max="8" min="8" style="0" width="48"/>
    <col collapsed="false" customWidth="true" hidden="false" outlineLevel="0" max="9" min="9" style="0" width="11"/>
  </cols>
  <sheetData>
    <row r="1" customFormat="false" ht="27.75" hidden="false" customHeight="true" outlineLevel="0" collapsed="false">
      <c r="A1" s="5" t="s">
        <v>348</v>
      </c>
      <c r="B1" s="5" t="s">
        <v>349</v>
      </c>
      <c r="C1" s="5" t="s">
        <v>350</v>
      </c>
      <c r="D1" s="5" t="s">
        <v>351</v>
      </c>
      <c r="E1" s="5" t="s">
        <v>352</v>
      </c>
      <c r="F1" s="5" t="s">
        <v>353</v>
      </c>
      <c r="G1" s="5" t="s">
        <v>354</v>
      </c>
      <c r="H1" s="5" t="s">
        <v>355</v>
      </c>
      <c r="I1" s="5" t="s">
        <v>356</v>
      </c>
    </row>
    <row r="2" customFormat="false" ht="15" hidden="false" customHeight="false" outlineLevel="0" collapsed="false">
      <c r="A2" s="9" t="n">
        <v>1</v>
      </c>
      <c r="B2" s="8" t="s">
        <v>357</v>
      </c>
      <c r="C2" s="7" t="s">
        <v>358</v>
      </c>
      <c r="D2" s="8" t="s">
        <v>359</v>
      </c>
      <c r="E2" s="8" t="s">
        <v>360</v>
      </c>
      <c r="F2" s="8" t="s">
        <v>361</v>
      </c>
      <c r="G2" s="8" t="s">
        <v>62</v>
      </c>
      <c r="H2" s="8" t="s">
        <v>362</v>
      </c>
      <c r="I2" s="19" t="s">
        <v>363</v>
      </c>
    </row>
    <row r="3" customFormat="false" ht="15" hidden="false" customHeight="false" outlineLevel="0" collapsed="false">
      <c r="A3" s="9" t="n">
        <v>2</v>
      </c>
      <c r="B3" s="8" t="s">
        <v>357</v>
      </c>
      <c r="C3" s="7" t="s">
        <v>364</v>
      </c>
      <c r="D3" s="8" t="s">
        <v>365</v>
      </c>
      <c r="E3" s="8" t="s">
        <v>366</v>
      </c>
      <c r="F3" s="8" t="s">
        <v>361</v>
      </c>
      <c r="G3" s="8" t="s">
        <v>62</v>
      </c>
      <c r="H3" s="8" t="s">
        <v>367</v>
      </c>
      <c r="I3" s="19" t="s">
        <v>363</v>
      </c>
    </row>
    <row r="4" customFormat="false" ht="15" hidden="false" customHeight="false" outlineLevel="0" collapsed="false">
      <c r="A4" s="9" t="n">
        <v>3</v>
      </c>
      <c r="B4" s="8" t="s">
        <v>17</v>
      </c>
      <c r="C4" s="7" t="s">
        <v>368</v>
      </c>
      <c r="D4" s="8" t="s">
        <v>369</v>
      </c>
      <c r="E4" s="8" t="s">
        <v>370</v>
      </c>
      <c r="F4" s="8" t="s">
        <v>335</v>
      </c>
      <c r="G4" s="8" t="s">
        <v>297</v>
      </c>
      <c r="H4" s="8" t="s">
        <v>371</v>
      </c>
      <c r="I4" s="19" t="s">
        <v>363</v>
      </c>
    </row>
    <row r="5" customFormat="false" ht="23.85" hidden="false" customHeight="false" outlineLevel="0" collapsed="false">
      <c r="A5" s="9" t="n">
        <v>4</v>
      </c>
      <c r="B5" s="8" t="s">
        <v>372</v>
      </c>
      <c r="C5" s="7" t="s">
        <v>373</v>
      </c>
      <c r="D5" s="8" t="s">
        <v>374</v>
      </c>
      <c r="E5" s="8" t="s">
        <v>375</v>
      </c>
      <c r="F5" s="8" t="s">
        <v>376</v>
      </c>
      <c r="G5" s="8" t="s">
        <v>377</v>
      </c>
      <c r="H5" s="8" t="s">
        <v>378</v>
      </c>
      <c r="I5" s="19" t="s">
        <v>363</v>
      </c>
    </row>
    <row r="6" customFormat="false" ht="15" hidden="false" customHeight="false" outlineLevel="0" collapsed="false">
      <c r="A6" s="9" t="n">
        <v>5</v>
      </c>
      <c r="B6" s="8" t="s">
        <v>372</v>
      </c>
      <c r="C6" s="7" t="s">
        <v>379</v>
      </c>
      <c r="D6" s="8" t="s">
        <v>380</v>
      </c>
      <c r="E6" s="8" t="s">
        <v>381</v>
      </c>
      <c r="F6" s="8" t="s">
        <v>382</v>
      </c>
      <c r="G6" s="8" t="s">
        <v>383</v>
      </c>
      <c r="H6" s="8" t="s">
        <v>384</v>
      </c>
      <c r="I6" s="19" t="s">
        <v>363</v>
      </c>
    </row>
    <row r="7" customFormat="false" ht="23.85" hidden="false" customHeight="false" outlineLevel="0" collapsed="false">
      <c r="A7" s="9" t="n">
        <v>6</v>
      </c>
      <c r="B7" s="8" t="s">
        <v>372</v>
      </c>
      <c r="C7" s="7" t="s">
        <v>385</v>
      </c>
      <c r="D7" s="8" t="s">
        <v>386</v>
      </c>
      <c r="E7" s="8" t="s">
        <v>387</v>
      </c>
      <c r="F7" s="8" t="s">
        <v>388</v>
      </c>
      <c r="G7" s="8" t="s">
        <v>389</v>
      </c>
      <c r="H7" s="8" t="s">
        <v>384</v>
      </c>
      <c r="I7" s="19" t="s">
        <v>363</v>
      </c>
    </row>
    <row r="8" customFormat="false" ht="15" hidden="false" customHeight="false" outlineLevel="0" collapsed="false">
      <c r="A8" s="9" t="n">
        <v>7</v>
      </c>
      <c r="B8" s="8" t="s">
        <v>372</v>
      </c>
      <c r="C8" s="7" t="s">
        <v>390</v>
      </c>
      <c r="D8" s="8" t="s">
        <v>391</v>
      </c>
      <c r="E8" s="8" t="s">
        <v>392</v>
      </c>
      <c r="F8" s="8" t="s">
        <v>335</v>
      </c>
      <c r="G8" s="8" t="s">
        <v>393</v>
      </c>
      <c r="H8" s="8" t="s">
        <v>384</v>
      </c>
      <c r="I8" s="19" t="s">
        <v>363</v>
      </c>
    </row>
    <row r="9" customFormat="false" ht="15" hidden="false" customHeight="false" outlineLevel="0" collapsed="false">
      <c r="A9" s="9" t="n">
        <v>8</v>
      </c>
      <c r="B9" s="8" t="s">
        <v>394</v>
      </c>
      <c r="C9" s="7" t="s">
        <v>395</v>
      </c>
      <c r="D9" s="8" t="s">
        <v>396</v>
      </c>
      <c r="E9" s="8" t="s">
        <v>397</v>
      </c>
      <c r="F9" s="8" t="s">
        <v>382</v>
      </c>
      <c r="G9" s="8" t="s">
        <v>398</v>
      </c>
      <c r="H9" s="8" t="s">
        <v>399</v>
      </c>
      <c r="I9" s="19" t="s">
        <v>363</v>
      </c>
    </row>
    <row r="10" customFormat="false" ht="23.85" hidden="false" customHeight="false" outlineLevel="0" collapsed="false">
      <c r="A10" s="9" t="n">
        <v>9</v>
      </c>
      <c r="B10" s="8" t="s">
        <v>400</v>
      </c>
      <c r="C10" s="7" t="s">
        <v>401</v>
      </c>
      <c r="D10" s="8" t="s">
        <v>402</v>
      </c>
      <c r="E10" s="8" t="s">
        <v>403</v>
      </c>
      <c r="F10" s="8" t="s">
        <v>404</v>
      </c>
      <c r="G10" s="8" t="s">
        <v>405</v>
      </c>
      <c r="H10" s="8" t="s">
        <v>384</v>
      </c>
      <c r="I10" s="19" t="s">
        <v>363</v>
      </c>
    </row>
    <row r="11" customFormat="false" ht="15" hidden="false" customHeight="false" outlineLevel="0" collapsed="false">
      <c r="A11" s="9" t="n">
        <v>10</v>
      </c>
      <c r="B11" s="8" t="s">
        <v>400</v>
      </c>
      <c r="C11" s="7" t="s">
        <v>406</v>
      </c>
      <c r="D11" s="8" t="s">
        <v>407</v>
      </c>
      <c r="E11" s="8" t="s">
        <v>408</v>
      </c>
      <c r="F11" s="8" t="s">
        <v>409</v>
      </c>
      <c r="G11" s="8" t="s">
        <v>89</v>
      </c>
      <c r="H11" s="8" t="s">
        <v>384</v>
      </c>
      <c r="I11" s="19" t="s">
        <v>363</v>
      </c>
    </row>
    <row r="12" customFormat="false" ht="23.85" hidden="false" customHeight="false" outlineLevel="0" collapsed="false">
      <c r="A12" s="9" t="n">
        <v>11</v>
      </c>
      <c r="B12" s="8" t="s">
        <v>400</v>
      </c>
      <c r="C12" s="7" t="s">
        <v>410</v>
      </c>
      <c r="D12" s="8" t="s">
        <v>411</v>
      </c>
      <c r="E12" s="8" t="s">
        <v>412</v>
      </c>
      <c r="F12" s="8" t="s">
        <v>409</v>
      </c>
      <c r="G12" s="8" t="s">
        <v>89</v>
      </c>
      <c r="H12" s="8" t="s">
        <v>384</v>
      </c>
      <c r="I12" s="19" t="s">
        <v>363</v>
      </c>
    </row>
    <row r="13" customFormat="false" ht="15" hidden="false" customHeight="false" outlineLevel="0" collapsed="false">
      <c r="A13" s="9" t="n">
        <v>12</v>
      </c>
      <c r="B13" s="8" t="s">
        <v>400</v>
      </c>
      <c r="C13" s="7" t="s">
        <v>413</v>
      </c>
      <c r="D13" s="8" t="s">
        <v>414</v>
      </c>
      <c r="E13" s="8" t="s">
        <v>415</v>
      </c>
      <c r="F13" s="8" t="s">
        <v>409</v>
      </c>
      <c r="G13" s="8" t="s">
        <v>89</v>
      </c>
      <c r="H13" s="8" t="s">
        <v>416</v>
      </c>
      <c r="I13" s="19" t="s">
        <v>363</v>
      </c>
    </row>
    <row r="14" customFormat="false" ht="23.85" hidden="false" customHeight="false" outlineLevel="0" collapsed="false">
      <c r="A14" s="9" t="n">
        <v>13</v>
      </c>
      <c r="B14" s="8" t="s">
        <v>417</v>
      </c>
      <c r="C14" s="7" t="s">
        <v>418</v>
      </c>
      <c r="D14" s="8" t="s">
        <v>419</v>
      </c>
      <c r="E14" s="8" t="s">
        <v>420</v>
      </c>
      <c r="F14" s="8" t="s">
        <v>421</v>
      </c>
      <c r="G14" s="8" t="s">
        <v>422</v>
      </c>
      <c r="H14" s="8" t="s">
        <v>384</v>
      </c>
      <c r="I14" s="19" t="s">
        <v>363</v>
      </c>
    </row>
    <row r="15" customFormat="false" ht="23.85" hidden="false" customHeight="false" outlineLevel="0" collapsed="false">
      <c r="A15" s="9" t="n">
        <v>14</v>
      </c>
      <c r="B15" s="8" t="s">
        <v>423</v>
      </c>
      <c r="C15" s="7" t="s">
        <v>424</v>
      </c>
      <c r="D15" s="8" t="s">
        <v>425</v>
      </c>
      <c r="E15" s="8" t="s">
        <v>426</v>
      </c>
      <c r="F15" s="8" t="s">
        <v>427</v>
      </c>
      <c r="G15" s="8" t="s">
        <v>237</v>
      </c>
      <c r="H15" s="8" t="s">
        <v>428</v>
      </c>
      <c r="I15" s="19" t="s">
        <v>363</v>
      </c>
    </row>
    <row r="16" customFormat="false" ht="23.85" hidden="false" customHeight="false" outlineLevel="0" collapsed="false">
      <c r="A16" s="9" t="n">
        <v>15</v>
      </c>
      <c r="B16" s="8" t="s">
        <v>423</v>
      </c>
      <c r="C16" s="7" t="s">
        <v>429</v>
      </c>
      <c r="D16" s="8" t="s">
        <v>430</v>
      </c>
      <c r="E16" s="8" t="s">
        <v>431</v>
      </c>
      <c r="F16" s="8" t="s">
        <v>432</v>
      </c>
      <c r="G16" s="8" t="s">
        <v>237</v>
      </c>
      <c r="H16" s="8" t="s">
        <v>384</v>
      </c>
      <c r="I16" s="19" t="s">
        <v>363</v>
      </c>
    </row>
    <row r="17" customFormat="false" ht="15" hidden="false" customHeight="false" outlineLevel="0" collapsed="false">
      <c r="A17" s="9" t="n">
        <v>16</v>
      </c>
      <c r="B17" s="8" t="s">
        <v>433</v>
      </c>
      <c r="C17" s="7" t="s">
        <v>434</v>
      </c>
      <c r="D17" s="8" t="s">
        <v>435</v>
      </c>
      <c r="E17" s="8" t="s">
        <v>436</v>
      </c>
      <c r="F17" s="8" t="s">
        <v>437</v>
      </c>
      <c r="G17" s="8" t="s">
        <v>438</v>
      </c>
      <c r="H17" s="8" t="s">
        <v>439</v>
      </c>
      <c r="I17" s="19" t="s">
        <v>363</v>
      </c>
    </row>
    <row r="18" customFormat="false" ht="15" hidden="false" customHeight="false" outlineLevel="0" collapsed="false">
      <c r="A18" s="9" t="n">
        <v>17</v>
      </c>
      <c r="B18" s="8" t="s">
        <v>440</v>
      </c>
      <c r="C18" s="7" t="s">
        <v>441</v>
      </c>
      <c r="D18" s="8" t="s">
        <v>442</v>
      </c>
      <c r="E18" s="8" t="s">
        <v>443</v>
      </c>
      <c r="F18" s="8" t="s">
        <v>437</v>
      </c>
      <c r="G18" s="8" t="s">
        <v>255</v>
      </c>
      <c r="H18" s="8" t="s">
        <v>384</v>
      </c>
      <c r="I18" s="19" t="s">
        <v>363</v>
      </c>
    </row>
    <row r="19" customFormat="false" ht="23.85" hidden="false" customHeight="false" outlineLevel="0" collapsed="false">
      <c r="A19" s="9" t="n">
        <v>18</v>
      </c>
      <c r="B19" s="8" t="s">
        <v>444</v>
      </c>
      <c r="C19" s="7" t="s">
        <v>445</v>
      </c>
      <c r="D19" s="8" t="s">
        <v>446</v>
      </c>
      <c r="E19" s="8" t="s">
        <v>447</v>
      </c>
      <c r="F19" s="8" t="s">
        <v>448</v>
      </c>
      <c r="G19" s="8" t="s">
        <v>449</v>
      </c>
      <c r="H19" s="8" t="s">
        <v>384</v>
      </c>
      <c r="I19" s="10" t="s">
        <v>450</v>
      </c>
    </row>
    <row r="20" customFormat="false" ht="23.85" hidden="false" customHeight="false" outlineLevel="0" collapsed="false">
      <c r="A20" s="9" t="n">
        <v>19</v>
      </c>
      <c r="B20" s="8" t="s">
        <v>451</v>
      </c>
      <c r="C20" s="7" t="s">
        <v>452</v>
      </c>
      <c r="D20" s="8" t="s">
        <v>453</v>
      </c>
      <c r="E20" s="8" t="s">
        <v>454</v>
      </c>
      <c r="F20" s="8" t="s">
        <v>92</v>
      </c>
      <c r="G20" s="8" t="s">
        <v>455</v>
      </c>
      <c r="H20" s="8" t="s">
        <v>439</v>
      </c>
      <c r="I20" s="19" t="s">
        <v>363</v>
      </c>
    </row>
    <row r="21" customFormat="false" ht="23.85" hidden="false" customHeight="false" outlineLevel="0" collapsed="false">
      <c r="A21" s="9" t="n">
        <v>20</v>
      </c>
      <c r="B21" s="8" t="s">
        <v>451</v>
      </c>
      <c r="C21" s="7" t="s">
        <v>456</v>
      </c>
      <c r="D21" s="8" t="s">
        <v>457</v>
      </c>
      <c r="E21" s="8" t="s">
        <v>458</v>
      </c>
      <c r="F21" s="8" t="s">
        <v>92</v>
      </c>
      <c r="G21" s="8" t="s">
        <v>139</v>
      </c>
      <c r="H21" s="8" t="s">
        <v>459</v>
      </c>
      <c r="I21" s="20" t="s">
        <v>460</v>
      </c>
    </row>
    <row r="22" customFormat="false" ht="23.85" hidden="false" customHeight="false" outlineLevel="0" collapsed="false">
      <c r="A22" s="9" t="n">
        <v>21</v>
      </c>
      <c r="B22" s="8" t="s">
        <v>461</v>
      </c>
      <c r="C22" s="7" t="s">
        <v>462</v>
      </c>
      <c r="D22" s="8" t="s">
        <v>463</v>
      </c>
      <c r="E22" s="8" t="s">
        <v>464</v>
      </c>
      <c r="F22" s="8" t="s">
        <v>465</v>
      </c>
      <c r="G22" s="8" t="s">
        <v>466</v>
      </c>
      <c r="H22" s="8" t="s">
        <v>467</v>
      </c>
      <c r="I22" s="20" t="s">
        <v>460</v>
      </c>
    </row>
    <row r="23" customFormat="false" ht="23.85" hidden="false" customHeight="false" outlineLevel="0" collapsed="false">
      <c r="A23" s="9" t="n">
        <v>22</v>
      </c>
      <c r="B23" s="8" t="s">
        <v>461</v>
      </c>
      <c r="C23" s="7" t="s">
        <v>468</v>
      </c>
      <c r="D23" s="8" t="s">
        <v>469</v>
      </c>
      <c r="E23" s="8" t="s">
        <v>470</v>
      </c>
      <c r="F23" s="8" t="s">
        <v>471</v>
      </c>
      <c r="G23" s="8" t="s">
        <v>472</v>
      </c>
      <c r="H23" s="8" t="s">
        <v>473</v>
      </c>
      <c r="I23" s="10" t="s">
        <v>450</v>
      </c>
    </row>
    <row r="24" customFormat="false" ht="15" hidden="false" customHeight="false" outlineLevel="0" collapsed="false">
      <c r="A24" s="9" t="n">
        <v>23</v>
      </c>
      <c r="B24" s="8" t="s">
        <v>25</v>
      </c>
      <c r="C24" s="7" t="s">
        <v>474</v>
      </c>
      <c r="D24" s="8" t="s">
        <v>475</v>
      </c>
      <c r="E24" s="8" t="s">
        <v>476</v>
      </c>
      <c r="F24" s="8" t="s">
        <v>335</v>
      </c>
      <c r="G24" s="8" t="s">
        <v>290</v>
      </c>
      <c r="H24" s="8" t="s">
        <v>384</v>
      </c>
      <c r="I24" s="19" t="s">
        <v>363</v>
      </c>
    </row>
    <row r="25" customFormat="false" ht="15" hidden="false" customHeight="false" outlineLevel="0" collapsed="false">
      <c r="A25" s="9" t="n">
        <v>24</v>
      </c>
      <c r="B25" s="8" t="s">
        <v>25</v>
      </c>
      <c r="C25" s="7" t="s">
        <v>477</v>
      </c>
      <c r="D25" s="8" t="s">
        <v>478</v>
      </c>
      <c r="E25" s="8" t="s">
        <v>479</v>
      </c>
      <c r="F25" s="8" t="s">
        <v>335</v>
      </c>
      <c r="G25" s="8" t="s">
        <v>290</v>
      </c>
      <c r="H25" s="8" t="s">
        <v>384</v>
      </c>
      <c r="I25" s="19" t="s">
        <v>363</v>
      </c>
    </row>
    <row r="26" customFormat="false" ht="15" hidden="false" customHeight="false" outlineLevel="0" collapsed="false">
      <c r="A26" s="9" t="n">
        <v>25</v>
      </c>
      <c r="B26" s="8" t="s">
        <v>25</v>
      </c>
      <c r="C26" s="7" t="s">
        <v>480</v>
      </c>
      <c r="D26" s="8" t="s">
        <v>481</v>
      </c>
      <c r="E26" s="8" t="s">
        <v>482</v>
      </c>
      <c r="F26" s="8" t="s">
        <v>335</v>
      </c>
      <c r="G26" s="8" t="s">
        <v>281</v>
      </c>
      <c r="H26" s="8" t="s">
        <v>384</v>
      </c>
      <c r="I26" s="19" t="s">
        <v>363</v>
      </c>
    </row>
    <row r="27" customFormat="false" ht="15" hidden="false" customHeight="false" outlineLevel="0" collapsed="false">
      <c r="A27" s="9" t="n">
        <v>26</v>
      </c>
      <c r="B27" s="8" t="s">
        <v>25</v>
      </c>
      <c r="C27" s="7" t="s">
        <v>483</v>
      </c>
      <c r="D27" s="8" t="s">
        <v>484</v>
      </c>
      <c r="E27" s="8" t="s">
        <v>485</v>
      </c>
      <c r="F27" s="8" t="s">
        <v>335</v>
      </c>
      <c r="G27" s="8" t="s">
        <v>281</v>
      </c>
      <c r="H27" s="8" t="s">
        <v>486</v>
      </c>
      <c r="I27" s="20" t="s">
        <v>460</v>
      </c>
    </row>
    <row r="28" customFormat="false" ht="15" hidden="false" customHeight="false" outlineLevel="0" collapsed="false">
      <c r="A28" s="9" t="n">
        <v>27</v>
      </c>
      <c r="B28" s="8" t="s">
        <v>487</v>
      </c>
      <c r="C28" s="7" t="s">
        <v>488</v>
      </c>
      <c r="D28" s="8" t="s">
        <v>489</v>
      </c>
      <c r="E28" s="8" t="s">
        <v>490</v>
      </c>
      <c r="F28" s="8" t="s">
        <v>223</v>
      </c>
      <c r="G28" s="8" t="s">
        <v>229</v>
      </c>
      <c r="H28" s="8" t="s">
        <v>384</v>
      </c>
      <c r="I28" s="19" t="s">
        <v>363</v>
      </c>
    </row>
    <row r="29" customFormat="false" ht="15" hidden="false" customHeight="false" outlineLevel="0" collapsed="false">
      <c r="A29" s="9" t="n">
        <v>28</v>
      </c>
      <c r="B29" s="8" t="s">
        <v>487</v>
      </c>
      <c r="C29" s="7" t="s">
        <v>491</v>
      </c>
      <c r="D29" s="8" t="s">
        <v>492</v>
      </c>
      <c r="E29" s="8" t="s">
        <v>493</v>
      </c>
      <c r="F29" s="8" t="s">
        <v>223</v>
      </c>
      <c r="G29" s="8" t="s">
        <v>229</v>
      </c>
      <c r="H29" s="8" t="s">
        <v>384</v>
      </c>
      <c r="I29" s="19" t="s">
        <v>363</v>
      </c>
    </row>
    <row r="30" customFormat="false" ht="15" hidden="false" customHeight="false" outlineLevel="0" collapsed="false">
      <c r="A30" s="9" t="n">
        <v>29</v>
      </c>
      <c r="B30" s="8" t="s">
        <v>494</v>
      </c>
      <c r="C30" s="7" t="s">
        <v>495</v>
      </c>
      <c r="D30" s="8" t="s">
        <v>496</v>
      </c>
      <c r="E30" s="8" t="s">
        <v>497</v>
      </c>
      <c r="F30" s="8" t="s">
        <v>266</v>
      </c>
      <c r="G30" s="8" t="s">
        <v>273</v>
      </c>
      <c r="H30" s="8" t="s">
        <v>498</v>
      </c>
      <c r="I30" s="19" t="s">
        <v>363</v>
      </c>
    </row>
    <row r="31" customFormat="false" ht="15" hidden="false" customHeight="false" outlineLevel="0" collapsed="false">
      <c r="A31" s="9" t="n">
        <v>30</v>
      </c>
      <c r="B31" s="8" t="s">
        <v>499</v>
      </c>
      <c r="C31" s="7" t="s">
        <v>500</v>
      </c>
      <c r="D31" s="8" t="s">
        <v>501</v>
      </c>
      <c r="E31" s="8" t="s">
        <v>502</v>
      </c>
      <c r="F31" s="8" t="s">
        <v>223</v>
      </c>
      <c r="G31" s="8" t="s">
        <v>220</v>
      </c>
      <c r="H31" s="8" t="s">
        <v>503</v>
      </c>
      <c r="I31" s="20" t="s">
        <v>460</v>
      </c>
    </row>
    <row r="32" customFormat="false" ht="23.85" hidden="false" customHeight="false" outlineLevel="0" collapsed="false">
      <c r="A32" s="9" t="n">
        <v>31</v>
      </c>
      <c r="B32" s="8" t="s">
        <v>504</v>
      </c>
      <c r="C32" s="7" t="s">
        <v>505</v>
      </c>
      <c r="D32" s="8" t="s">
        <v>506</v>
      </c>
      <c r="E32" s="8" t="s">
        <v>507</v>
      </c>
      <c r="F32" s="8" t="s">
        <v>382</v>
      </c>
      <c r="G32" s="8" t="s">
        <v>335</v>
      </c>
      <c r="H32" s="8" t="s">
        <v>384</v>
      </c>
      <c r="I32" s="19" t="s">
        <v>363</v>
      </c>
    </row>
    <row r="33" customFormat="false" ht="15" hidden="false" customHeight="false" outlineLevel="0" collapsed="false">
      <c r="A33" s="9" t="n">
        <v>32</v>
      </c>
      <c r="B33" s="8" t="s">
        <v>504</v>
      </c>
      <c r="C33" s="7" t="s">
        <v>508</v>
      </c>
      <c r="D33" s="8" t="s">
        <v>509</v>
      </c>
      <c r="E33" s="8" t="s">
        <v>510</v>
      </c>
      <c r="F33" s="8" t="s">
        <v>511</v>
      </c>
      <c r="G33" s="8" t="s">
        <v>512</v>
      </c>
      <c r="H33" s="8" t="s">
        <v>384</v>
      </c>
      <c r="I33" s="19" t="s">
        <v>363</v>
      </c>
    </row>
    <row r="34" customFormat="false" ht="15" hidden="false" customHeight="false" outlineLevel="0" collapsed="false">
      <c r="A34" s="9" t="n">
        <v>33</v>
      </c>
      <c r="B34" s="8" t="s">
        <v>504</v>
      </c>
      <c r="C34" s="7" t="s">
        <v>513</v>
      </c>
      <c r="D34" s="8" t="s">
        <v>514</v>
      </c>
      <c r="E34" s="8" t="s">
        <v>515</v>
      </c>
      <c r="F34" s="8" t="s">
        <v>516</v>
      </c>
      <c r="G34" s="8" t="s">
        <v>517</v>
      </c>
      <c r="H34" s="8" t="s">
        <v>384</v>
      </c>
      <c r="I34" s="19" t="s">
        <v>363</v>
      </c>
    </row>
    <row r="35" customFormat="false" ht="15" hidden="false" customHeight="false" outlineLevel="0" collapsed="false">
      <c r="A35" s="9" t="n">
        <v>34</v>
      </c>
      <c r="B35" s="8" t="s">
        <v>504</v>
      </c>
      <c r="C35" s="7" t="s">
        <v>518</v>
      </c>
      <c r="D35" s="8" t="s">
        <v>519</v>
      </c>
      <c r="E35" s="8" t="s">
        <v>520</v>
      </c>
      <c r="F35" s="8" t="s">
        <v>521</v>
      </c>
      <c r="G35" s="8" t="s">
        <v>297</v>
      </c>
      <c r="H35" s="8" t="s">
        <v>384</v>
      </c>
      <c r="I35" s="19" t="s">
        <v>363</v>
      </c>
    </row>
    <row r="36" customFormat="false" ht="35.05" hidden="false" customHeight="false" outlineLevel="0" collapsed="false">
      <c r="A36" s="9" t="n">
        <v>35</v>
      </c>
      <c r="B36" s="8" t="s">
        <v>504</v>
      </c>
      <c r="C36" s="7" t="s">
        <v>522</v>
      </c>
      <c r="D36" s="8" t="s">
        <v>523</v>
      </c>
      <c r="E36" s="8" t="s">
        <v>524</v>
      </c>
      <c r="F36" s="8" t="s">
        <v>511</v>
      </c>
      <c r="G36" s="8" t="s">
        <v>525</v>
      </c>
      <c r="H36" s="8" t="s">
        <v>526</v>
      </c>
      <c r="I36" s="19" t="s">
        <v>363</v>
      </c>
    </row>
    <row r="37" customFormat="false" ht="15" hidden="false" customHeight="false" outlineLevel="0" collapsed="false">
      <c r="A37" s="9" t="n">
        <v>36</v>
      </c>
      <c r="B37" s="8" t="s">
        <v>504</v>
      </c>
      <c r="C37" s="7" t="s">
        <v>527</v>
      </c>
      <c r="D37" s="8" t="s">
        <v>528</v>
      </c>
      <c r="E37" s="8" t="s">
        <v>529</v>
      </c>
      <c r="F37" s="8" t="s">
        <v>530</v>
      </c>
      <c r="G37" s="8" t="s">
        <v>531</v>
      </c>
      <c r="H37" s="8" t="s">
        <v>409</v>
      </c>
      <c r="I37" s="19" t="s">
        <v>363</v>
      </c>
    </row>
    <row r="38" customFormat="false" ht="15" hidden="false" customHeight="false" outlineLevel="0" collapsed="false">
      <c r="A38" s="9" t="n">
        <v>37</v>
      </c>
      <c r="B38" s="8" t="s">
        <v>504</v>
      </c>
      <c r="C38" s="7" t="s">
        <v>532</v>
      </c>
      <c r="D38" s="8" t="s">
        <v>533</v>
      </c>
      <c r="E38" s="8" t="s">
        <v>534</v>
      </c>
      <c r="F38" s="8" t="s">
        <v>535</v>
      </c>
      <c r="G38" s="8" t="s">
        <v>297</v>
      </c>
      <c r="H38" s="8" t="s">
        <v>409</v>
      </c>
      <c r="I38" s="19" t="s">
        <v>363</v>
      </c>
    </row>
    <row r="39" customFormat="false" ht="15" hidden="false" customHeight="false" outlineLevel="0" collapsed="false">
      <c r="A39" s="9" t="n">
        <v>38</v>
      </c>
      <c r="B39" s="8" t="s">
        <v>504</v>
      </c>
      <c r="C39" s="7" t="s">
        <v>536</v>
      </c>
      <c r="D39" s="8" t="s">
        <v>537</v>
      </c>
      <c r="E39" s="8" t="s">
        <v>538</v>
      </c>
      <c r="F39" s="8" t="s">
        <v>335</v>
      </c>
      <c r="G39" s="8" t="s">
        <v>539</v>
      </c>
      <c r="H39" s="8" t="s">
        <v>384</v>
      </c>
      <c r="I39" s="19" t="s">
        <v>363</v>
      </c>
    </row>
    <row r="40" customFormat="false" ht="15" hidden="false" customHeight="false" outlineLevel="0" collapsed="false">
      <c r="A40" s="9" t="n">
        <v>39</v>
      </c>
      <c r="B40" s="8" t="s">
        <v>504</v>
      </c>
      <c r="C40" s="7" t="s">
        <v>540</v>
      </c>
      <c r="D40" s="8" t="s">
        <v>541</v>
      </c>
      <c r="E40" s="8" t="s">
        <v>542</v>
      </c>
      <c r="F40" s="8" t="s">
        <v>388</v>
      </c>
      <c r="G40" s="8" t="s">
        <v>389</v>
      </c>
      <c r="H40" s="8" t="s">
        <v>543</v>
      </c>
      <c r="I40" s="19" t="s">
        <v>363</v>
      </c>
    </row>
    <row r="41" customFormat="false" ht="15" hidden="false" customHeight="false" outlineLevel="0" collapsed="false">
      <c r="A41" s="9" t="n">
        <v>40</v>
      </c>
      <c r="B41" s="8" t="s">
        <v>504</v>
      </c>
      <c r="C41" s="7" t="s">
        <v>544</v>
      </c>
      <c r="D41" s="8" t="s">
        <v>545</v>
      </c>
      <c r="E41" s="8" t="s">
        <v>546</v>
      </c>
      <c r="F41" s="8" t="s">
        <v>71</v>
      </c>
      <c r="G41" s="8" t="s">
        <v>71</v>
      </c>
      <c r="H41" s="8" t="s">
        <v>384</v>
      </c>
      <c r="I41" s="10" t="s">
        <v>450</v>
      </c>
    </row>
    <row r="42" customFormat="false" ht="15" hidden="false" customHeight="false" outlineLevel="0" collapsed="false">
      <c r="A42" s="9" t="n">
        <v>41</v>
      </c>
      <c r="B42" s="8" t="s">
        <v>504</v>
      </c>
      <c r="C42" s="7" t="s">
        <v>547</v>
      </c>
      <c r="D42" s="8" t="s">
        <v>548</v>
      </c>
      <c r="E42" s="8" t="s">
        <v>549</v>
      </c>
      <c r="F42" s="8" t="s">
        <v>335</v>
      </c>
      <c r="G42" s="8" t="s">
        <v>550</v>
      </c>
      <c r="H42" s="8" t="s">
        <v>498</v>
      </c>
      <c r="I42" s="10" t="s">
        <v>450</v>
      </c>
    </row>
    <row r="43" customFormat="false" ht="15" hidden="false" customHeight="false" outlineLevel="0" collapsed="false">
      <c r="A43" s="9" t="n">
        <v>42</v>
      </c>
      <c r="B43" s="8" t="s">
        <v>504</v>
      </c>
      <c r="C43" s="7" t="s">
        <v>551</v>
      </c>
      <c r="D43" s="8" t="s">
        <v>552</v>
      </c>
      <c r="E43" s="8" t="s">
        <v>553</v>
      </c>
      <c r="F43" s="8" t="s">
        <v>554</v>
      </c>
      <c r="G43" s="8" t="s">
        <v>297</v>
      </c>
      <c r="H43" s="8" t="s">
        <v>416</v>
      </c>
      <c r="I43" s="10" t="s">
        <v>450</v>
      </c>
    </row>
    <row r="44" customFormat="false" ht="23.85" hidden="false" customHeight="false" outlineLevel="0" collapsed="false">
      <c r="A44" s="9" t="n">
        <v>43</v>
      </c>
      <c r="B44" s="8" t="s">
        <v>555</v>
      </c>
      <c r="C44" s="7" t="s">
        <v>556</v>
      </c>
      <c r="D44" s="8" t="s">
        <v>557</v>
      </c>
      <c r="E44" s="8" t="s">
        <v>558</v>
      </c>
      <c r="F44" s="8" t="s">
        <v>71</v>
      </c>
      <c r="G44" s="8" t="s">
        <v>71</v>
      </c>
      <c r="H44" s="8" t="s">
        <v>384</v>
      </c>
      <c r="I44" s="10" t="s">
        <v>450</v>
      </c>
    </row>
    <row r="45" customFormat="false" ht="23.85" hidden="false" customHeight="false" outlineLevel="0" collapsed="false">
      <c r="A45" s="9" t="n">
        <v>44</v>
      </c>
      <c r="B45" s="8" t="s">
        <v>559</v>
      </c>
      <c r="C45" s="7" t="s">
        <v>560</v>
      </c>
      <c r="D45" s="8" t="s">
        <v>71</v>
      </c>
      <c r="E45" s="8" t="s">
        <v>561</v>
      </c>
      <c r="F45" s="8" t="s">
        <v>71</v>
      </c>
      <c r="G45" s="8" t="s">
        <v>71</v>
      </c>
      <c r="H45" s="8" t="s">
        <v>71</v>
      </c>
      <c r="I45" s="21" t="s">
        <v>559</v>
      </c>
    </row>
    <row r="46" customFormat="false" ht="15" hidden="false" customHeight="false" outlineLevel="0" collapsed="false">
      <c r="A46" s="9" t="n">
        <v>45</v>
      </c>
      <c r="B46" s="8" t="s">
        <v>559</v>
      </c>
      <c r="C46" s="7" t="s">
        <v>562</v>
      </c>
      <c r="D46" s="8" t="s">
        <v>71</v>
      </c>
      <c r="E46" s="8" t="s">
        <v>563</v>
      </c>
      <c r="F46" s="8" t="s">
        <v>71</v>
      </c>
      <c r="G46" s="8" t="s">
        <v>321</v>
      </c>
      <c r="H46" s="8" t="s">
        <v>71</v>
      </c>
      <c r="I46" s="21" t="s">
        <v>559</v>
      </c>
    </row>
    <row r="47" customFormat="false" ht="15" hidden="false" customHeight="false" outlineLevel="0" collapsed="false">
      <c r="A47" s="9" t="n">
        <v>46</v>
      </c>
      <c r="B47" s="8" t="s">
        <v>559</v>
      </c>
      <c r="C47" s="7" t="s">
        <v>564</v>
      </c>
      <c r="D47" s="8" t="s">
        <v>565</v>
      </c>
      <c r="E47" s="8" t="s">
        <v>566</v>
      </c>
      <c r="F47" s="8" t="s">
        <v>71</v>
      </c>
      <c r="G47" s="8" t="s">
        <v>237</v>
      </c>
      <c r="H47" s="8" t="s">
        <v>71</v>
      </c>
      <c r="I47" s="21" t="s">
        <v>559</v>
      </c>
    </row>
    <row r="48" customFormat="false" ht="23.85" hidden="false" customHeight="false" outlineLevel="0" collapsed="false">
      <c r="A48" s="9" t="n">
        <v>47</v>
      </c>
      <c r="B48" s="8" t="s">
        <v>559</v>
      </c>
      <c r="C48" s="7" t="s">
        <v>567</v>
      </c>
      <c r="D48" s="8" t="s">
        <v>71</v>
      </c>
      <c r="E48" s="8" t="s">
        <v>568</v>
      </c>
      <c r="F48" s="8" t="s">
        <v>71</v>
      </c>
      <c r="G48" s="8" t="s">
        <v>569</v>
      </c>
      <c r="H48" s="8" t="s">
        <v>71</v>
      </c>
      <c r="I48" s="21" t="s">
        <v>559</v>
      </c>
    </row>
    <row r="49" customFormat="false" ht="23.85" hidden="false" customHeight="false" outlineLevel="0" collapsed="false">
      <c r="A49" s="9" t="n">
        <v>48</v>
      </c>
      <c r="B49" s="8" t="s">
        <v>559</v>
      </c>
      <c r="C49" s="7" t="s">
        <v>570</v>
      </c>
      <c r="D49" s="8" t="s">
        <v>571</v>
      </c>
      <c r="E49" s="8" t="s">
        <v>572</v>
      </c>
      <c r="F49" s="8" t="s">
        <v>71</v>
      </c>
      <c r="G49" s="8" t="s">
        <v>106</v>
      </c>
      <c r="H49" s="8" t="s">
        <v>71</v>
      </c>
      <c r="I49" s="21" t="s">
        <v>559</v>
      </c>
    </row>
    <row r="50" customFormat="false" ht="15" hidden="false" customHeight="false" outlineLevel="0" collapsed="false">
      <c r="A50" s="9" t="n">
        <v>49</v>
      </c>
      <c r="B50" s="8" t="s">
        <v>559</v>
      </c>
      <c r="C50" s="7" t="s">
        <v>573</v>
      </c>
      <c r="D50" s="8" t="s">
        <v>71</v>
      </c>
      <c r="E50" s="8" t="s">
        <v>574</v>
      </c>
      <c r="F50" s="8" t="s">
        <v>71</v>
      </c>
      <c r="G50" s="8" t="s">
        <v>74</v>
      </c>
      <c r="H50" s="8" t="s">
        <v>71</v>
      </c>
      <c r="I50" s="21" t="s">
        <v>559</v>
      </c>
    </row>
    <row r="51" customFormat="false" ht="15" hidden="false" customHeight="false" outlineLevel="0" collapsed="false">
      <c r="A51" s="9" t="n">
        <v>50</v>
      </c>
      <c r="B51" s="8" t="s">
        <v>559</v>
      </c>
      <c r="C51" s="7" t="s">
        <v>575</v>
      </c>
      <c r="D51" s="8" t="s">
        <v>71</v>
      </c>
      <c r="E51" s="8" t="s">
        <v>576</v>
      </c>
      <c r="F51" s="8" t="s">
        <v>71</v>
      </c>
      <c r="G51" s="8" t="s">
        <v>179</v>
      </c>
      <c r="H51" s="8" t="s">
        <v>71</v>
      </c>
      <c r="I51" s="21" t="s">
        <v>559</v>
      </c>
    </row>
    <row r="52" customFormat="false" ht="23.85" hidden="false" customHeight="false" outlineLevel="0" collapsed="false">
      <c r="A52" s="9" t="n">
        <v>51</v>
      </c>
      <c r="B52" s="8" t="s">
        <v>559</v>
      </c>
      <c r="C52" s="7" t="s">
        <v>577</v>
      </c>
      <c r="D52" s="8" t="s">
        <v>71</v>
      </c>
      <c r="E52" s="8" t="s">
        <v>578</v>
      </c>
      <c r="F52" s="8" t="s">
        <v>71</v>
      </c>
      <c r="G52" s="8" t="s">
        <v>321</v>
      </c>
      <c r="H52" s="8" t="s">
        <v>71</v>
      </c>
      <c r="I52" s="21" t="s">
        <v>559</v>
      </c>
    </row>
    <row r="53" customFormat="false" ht="23.85" hidden="false" customHeight="false" outlineLevel="0" collapsed="false">
      <c r="A53" s="9" t="n">
        <v>52</v>
      </c>
      <c r="B53" s="8" t="s">
        <v>559</v>
      </c>
      <c r="C53" s="7" t="s">
        <v>579</v>
      </c>
      <c r="D53" s="8" t="s">
        <v>580</v>
      </c>
      <c r="E53" s="8" t="s">
        <v>581</v>
      </c>
      <c r="F53" s="8" t="s">
        <v>71</v>
      </c>
      <c r="G53" s="8" t="s">
        <v>71</v>
      </c>
      <c r="H53" s="8" t="s">
        <v>71</v>
      </c>
      <c r="I53" s="21" t="s">
        <v>559</v>
      </c>
    </row>
    <row r="55" customFormat="false" ht="15" hidden="false" customHeight="false" outlineLevel="0" collapsed="false">
      <c r="C55" s="18" t="s">
        <v>582</v>
      </c>
    </row>
  </sheetData>
  <autoFilter ref="A1:I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90"/>
    <col collapsed="false" customWidth="true" hidden="false" outlineLevel="0" max="4" min="4" style="0" width="70"/>
    <col collapsed="false" customWidth="true" hidden="false" outlineLevel="0" max="5" min="5" style="0" width="52"/>
  </cols>
  <sheetData>
    <row r="1" customFormat="false" ht="30" hidden="false" customHeight="true" outlineLevel="0" collapsed="false">
      <c r="A1" s="5" t="s">
        <v>52</v>
      </c>
      <c r="B1" s="5" t="s">
        <v>583</v>
      </c>
      <c r="C1" s="5" t="s">
        <v>584</v>
      </c>
      <c r="D1" s="5" t="s">
        <v>585</v>
      </c>
      <c r="E1" s="5" t="s">
        <v>586</v>
      </c>
    </row>
    <row r="2" customFormat="false" ht="23.85" hidden="false" customHeight="false" outlineLevel="0" collapsed="false">
      <c r="A2" s="7" t="s">
        <v>437</v>
      </c>
      <c r="B2" s="9" t="n">
        <v>8080</v>
      </c>
      <c r="C2" s="8" t="s">
        <v>587</v>
      </c>
      <c r="D2" s="8" t="s">
        <v>71</v>
      </c>
      <c r="E2" s="8" t="s">
        <v>588</v>
      </c>
    </row>
    <row r="3" customFormat="false" ht="35.05" hidden="false" customHeight="false" outlineLevel="0" collapsed="false">
      <c r="A3" s="7" t="s">
        <v>92</v>
      </c>
      <c r="B3" s="9" t="n">
        <v>8081</v>
      </c>
      <c r="C3" s="8" t="s">
        <v>589</v>
      </c>
      <c r="D3" s="8" t="s">
        <v>590</v>
      </c>
      <c r="E3" s="8" t="s">
        <v>591</v>
      </c>
    </row>
    <row r="4" customFormat="false" ht="23.85" hidden="false" customHeight="false" outlineLevel="0" collapsed="false">
      <c r="A4" s="7" t="s">
        <v>182</v>
      </c>
      <c r="B4" s="9" t="n">
        <v>8082</v>
      </c>
      <c r="C4" s="8" t="s">
        <v>592</v>
      </c>
      <c r="D4" s="8" t="s">
        <v>593</v>
      </c>
      <c r="E4" s="8" t="s">
        <v>594</v>
      </c>
    </row>
    <row r="5" customFormat="false" ht="23.85" hidden="false" customHeight="false" outlineLevel="0" collapsed="false">
      <c r="A5" s="7" t="s">
        <v>198</v>
      </c>
      <c r="B5" s="9" t="n">
        <v>8083</v>
      </c>
      <c r="C5" s="8" t="s">
        <v>595</v>
      </c>
      <c r="D5" s="8" t="s">
        <v>596</v>
      </c>
      <c r="E5" s="8" t="s">
        <v>597</v>
      </c>
    </row>
    <row r="6" customFormat="false" ht="35.05" hidden="false" customHeight="false" outlineLevel="0" collapsed="false">
      <c r="A6" s="7" t="s">
        <v>223</v>
      </c>
      <c r="B6" s="9" t="n">
        <v>8084</v>
      </c>
      <c r="C6" s="8" t="s">
        <v>598</v>
      </c>
      <c r="D6" s="8" t="s">
        <v>599</v>
      </c>
      <c r="E6" s="8" t="s">
        <v>600</v>
      </c>
    </row>
    <row r="7" customFormat="false" ht="23.85" hidden="false" customHeight="false" outlineLevel="0" collapsed="false">
      <c r="A7" s="7" t="s">
        <v>266</v>
      </c>
      <c r="B7" s="9" t="n">
        <v>8085</v>
      </c>
      <c r="C7" s="8" t="s">
        <v>595</v>
      </c>
      <c r="D7" s="8" t="s">
        <v>601</v>
      </c>
      <c r="E7" s="8" t="s">
        <v>602</v>
      </c>
    </row>
    <row r="8" customFormat="false" ht="23.85" hidden="false" customHeight="false" outlineLevel="0" collapsed="false">
      <c r="A8" s="7" t="s">
        <v>132</v>
      </c>
      <c r="B8" s="9" t="n">
        <v>8086</v>
      </c>
      <c r="C8" s="8" t="s">
        <v>603</v>
      </c>
      <c r="D8" s="8" t="s">
        <v>604</v>
      </c>
      <c r="E8" s="8" t="s">
        <v>605</v>
      </c>
    </row>
    <row r="9" customFormat="false" ht="15" hidden="false" customHeight="false" outlineLevel="0" collapsed="false">
      <c r="A9" s="7" t="s">
        <v>83</v>
      </c>
      <c r="B9" s="9" t="s">
        <v>71</v>
      </c>
      <c r="C9" s="8" t="s">
        <v>606</v>
      </c>
      <c r="D9" s="8" t="s">
        <v>607</v>
      </c>
      <c r="E9" s="8" t="s">
        <v>608</v>
      </c>
    </row>
    <row r="11" customFormat="false" ht="15" hidden="false" customHeight="false" outlineLevel="0" collapsed="false">
      <c r="A11" s="18" t="s">
        <v>609</v>
      </c>
    </row>
    <row r="12" customFormat="false" ht="15" hidden="false" customHeight="false" outlineLevel="0" collapsed="false">
      <c r="A12" s="18" t="s">
        <v>610</v>
      </c>
    </row>
    <row r="13" customFormat="false" ht="15" hidden="false" customHeight="false" outlineLevel="0" collapsed="false">
      <c r="A13" s="18" t="s">
        <v>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4"/>
    <col collapsed="false" customWidth="true" hidden="false" outlineLevel="0" max="3" min="3" style="0" width="62"/>
    <col collapsed="false" customWidth="true" hidden="false" outlineLevel="0" max="4" min="4" style="0" width="40"/>
    <col collapsed="false" customWidth="true" hidden="false" outlineLevel="0" max="5" min="5" style="0" width="22"/>
    <col collapsed="false" customWidth="true" hidden="false" outlineLevel="0" max="6" min="6" style="0" width="12"/>
    <col collapsed="false" customWidth="true" hidden="false" outlineLevel="0" max="7" min="7" style="0" width="18"/>
  </cols>
  <sheetData>
    <row r="1" customFormat="false" ht="30" hidden="false" customHeight="true" outlineLevel="0" collapsed="false">
      <c r="A1" s="5" t="s">
        <v>612</v>
      </c>
      <c r="B1" s="5" t="s">
        <v>352</v>
      </c>
      <c r="C1" s="5" t="s">
        <v>613</v>
      </c>
      <c r="D1" s="5" t="s">
        <v>614</v>
      </c>
      <c r="E1" s="5" t="s">
        <v>615</v>
      </c>
      <c r="F1" s="5" t="s">
        <v>616</v>
      </c>
      <c r="G1" s="5" t="s">
        <v>617</v>
      </c>
    </row>
    <row r="2" customFormat="false" ht="15" hidden="false" customHeight="false" outlineLevel="0" collapsed="false">
      <c r="A2" s="7" t="s">
        <v>618</v>
      </c>
      <c r="B2" s="8" t="s">
        <v>619</v>
      </c>
      <c r="C2" s="8" t="s">
        <v>620</v>
      </c>
      <c r="D2" s="8" t="s">
        <v>621</v>
      </c>
      <c r="E2" s="9" t="s">
        <v>71</v>
      </c>
      <c r="F2" s="9" t="n">
        <v>1</v>
      </c>
      <c r="G2" s="8" t="s">
        <v>363</v>
      </c>
    </row>
    <row r="3" customFormat="false" ht="23.85" hidden="false" customHeight="false" outlineLevel="0" collapsed="false">
      <c r="A3" s="7" t="s">
        <v>622</v>
      </c>
      <c r="B3" s="8" t="s">
        <v>623</v>
      </c>
      <c r="C3" s="8" t="s">
        <v>624</v>
      </c>
      <c r="D3" s="8" t="s">
        <v>625</v>
      </c>
      <c r="E3" s="9" t="s">
        <v>71</v>
      </c>
      <c r="F3" s="9" t="n">
        <v>1</v>
      </c>
      <c r="G3" s="8" t="s">
        <v>363</v>
      </c>
    </row>
    <row r="4" customFormat="false" ht="15" hidden="false" customHeight="false" outlineLevel="0" collapsed="false">
      <c r="A4" s="7" t="s">
        <v>626</v>
      </c>
      <c r="B4" s="8" t="s">
        <v>627</v>
      </c>
      <c r="C4" s="8" t="s">
        <v>628</v>
      </c>
      <c r="D4" s="8" t="s">
        <v>629</v>
      </c>
      <c r="E4" s="9" t="s">
        <v>71</v>
      </c>
      <c r="F4" s="9" t="n">
        <v>1</v>
      </c>
      <c r="G4" s="8" t="s">
        <v>363</v>
      </c>
    </row>
    <row r="5" customFormat="false" ht="15" hidden="false" customHeight="false" outlineLevel="0" collapsed="false">
      <c r="A5" s="7" t="s">
        <v>630</v>
      </c>
      <c r="B5" s="8" t="s">
        <v>631</v>
      </c>
      <c r="C5" s="8" t="s">
        <v>632</v>
      </c>
      <c r="D5" s="8" t="s">
        <v>633</v>
      </c>
      <c r="E5" s="9" t="s">
        <v>71</v>
      </c>
      <c r="F5" s="9" t="n">
        <v>1</v>
      </c>
      <c r="G5" s="8" t="s">
        <v>363</v>
      </c>
    </row>
    <row r="6" customFormat="false" ht="23.85" hidden="false" customHeight="false" outlineLevel="0" collapsed="false">
      <c r="A6" s="7" t="s">
        <v>634</v>
      </c>
      <c r="B6" s="8" t="s">
        <v>635</v>
      </c>
      <c r="C6" s="8" t="s">
        <v>636</v>
      </c>
      <c r="D6" s="8" t="s">
        <v>637</v>
      </c>
      <c r="E6" s="9" t="s">
        <v>71</v>
      </c>
      <c r="F6" s="9" t="n">
        <v>1</v>
      </c>
      <c r="G6" s="8" t="s">
        <v>363</v>
      </c>
    </row>
    <row r="7" customFormat="false" ht="15" hidden="false" customHeight="false" outlineLevel="0" collapsed="false">
      <c r="A7" s="7" t="s">
        <v>638</v>
      </c>
      <c r="B7" s="8" t="s">
        <v>639</v>
      </c>
      <c r="C7" s="8" t="s">
        <v>640</v>
      </c>
      <c r="D7" s="8" t="s">
        <v>641</v>
      </c>
      <c r="E7" s="9" t="n">
        <v>5432</v>
      </c>
      <c r="F7" s="9" t="n">
        <v>1</v>
      </c>
      <c r="G7" s="8" t="s">
        <v>363</v>
      </c>
    </row>
    <row r="8" customFormat="false" ht="15" hidden="false" customHeight="false" outlineLevel="0" collapsed="false">
      <c r="A8" s="7" t="s">
        <v>642</v>
      </c>
      <c r="B8" s="8" t="s">
        <v>643</v>
      </c>
      <c r="C8" s="8" t="s">
        <v>640</v>
      </c>
      <c r="D8" s="8" t="s">
        <v>644</v>
      </c>
      <c r="E8" s="9" t="n">
        <v>9092</v>
      </c>
      <c r="F8" s="9" t="n">
        <v>3</v>
      </c>
      <c r="G8" s="8" t="s">
        <v>363</v>
      </c>
    </row>
    <row r="9" customFormat="false" ht="15" hidden="false" customHeight="false" outlineLevel="0" collapsed="false">
      <c r="A9" s="7" t="s">
        <v>645</v>
      </c>
      <c r="B9" s="8" t="s">
        <v>646</v>
      </c>
      <c r="C9" s="8" t="s">
        <v>647</v>
      </c>
      <c r="D9" s="8" t="s">
        <v>648</v>
      </c>
      <c r="E9" s="9" t="n">
        <v>8090</v>
      </c>
      <c r="F9" s="9" t="n">
        <v>3</v>
      </c>
      <c r="G9" s="8" t="s">
        <v>649</v>
      </c>
    </row>
    <row r="10" customFormat="false" ht="15" hidden="false" customHeight="false" outlineLevel="0" collapsed="false">
      <c r="A10" s="7" t="s">
        <v>650</v>
      </c>
      <c r="B10" s="8" t="s">
        <v>651</v>
      </c>
      <c r="C10" s="8" t="s">
        <v>652</v>
      </c>
      <c r="D10" s="8" t="s">
        <v>653</v>
      </c>
      <c r="E10" s="9" t="n">
        <v>8180</v>
      </c>
      <c r="F10" s="9" t="n">
        <v>5</v>
      </c>
      <c r="G10" s="8" t="s">
        <v>363</v>
      </c>
    </row>
    <row r="11" customFormat="false" ht="23.85" hidden="false" customHeight="false" outlineLevel="0" collapsed="false">
      <c r="A11" s="7" t="s">
        <v>654</v>
      </c>
      <c r="B11" s="8" t="s">
        <v>655</v>
      </c>
      <c r="C11" s="8" t="s">
        <v>656</v>
      </c>
      <c r="D11" s="8" t="s">
        <v>657</v>
      </c>
      <c r="E11" s="9" t="n">
        <v>6379</v>
      </c>
      <c r="F11" s="9" t="n">
        <v>5</v>
      </c>
      <c r="G11" s="8" t="s">
        <v>363</v>
      </c>
    </row>
    <row r="12" customFormat="false" ht="23.85" hidden="false" customHeight="false" outlineLevel="0" collapsed="false">
      <c r="A12" s="7" t="s">
        <v>658</v>
      </c>
      <c r="B12" s="8" t="s">
        <v>659</v>
      </c>
      <c r="C12" s="8" t="s">
        <v>652</v>
      </c>
      <c r="D12" s="8" t="s">
        <v>660</v>
      </c>
      <c r="E12" s="9" t="s">
        <v>661</v>
      </c>
      <c r="F12" s="9" t="n">
        <v>4</v>
      </c>
      <c r="G12" s="8" t="s">
        <v>363</v>
      </c>
    </row>
    <row r="13" customFormat="false" ht="15" hidden="false" customHeight="false" outlineLevel="0" collapsed="false">
      <c r="A13" s="7" t="s">
        <v>662</v>
      </c>
      <c r="B13" s="8" t="s">
        <v>663</v>
      </c>
      <c r="C13" s="8" t="s">
        <v>652</v>
      </c>
      <c r="D13" s="8" t="s">
        <v>664</v>
      </c>
      <c r="E13" s="9" t="n">
        <v>9090</v>
      </c>
      <c r="F13" s="9" t="n">
        <v>6</v>
      </c>
      <c r="G13" s="8" t="s">
        <v>363</v>
      </c>
    </row>
    <row r="14" customFormat="false" ht="15" hidden="false" customHeight="false" outlineLevel="0" collapsed="false">
      <c r="A14" s="7" t="s">
        <v>665</v>
      </c>
      <c r="B14" s="8" t="s">
        <v>666</v>
      </c>
      <c r="C14" s="8" t="s">
        <v>667</v>
      </c>
      <c r="D14" s="8" t="s">
        <v>668</v>
      </c>
      <c r="E14" s="9" t="n">
        <v>3000</v>
      </c>
      <c r="F14" s="9" t="n">
        <v>6</v>
      </c>
      <c r="G14" s="8" t="s">
        <v>363</v>
      </c>
    </row>
    <row r="15" customFormat="false" ht="23.85" hidden="false" customHeight="false" outlineLevel="0" collapsed="false">
      <c r="A15" s="7" t="s">
        <v>669</v>
      </c>
      <c r="B15" s="8" t="s">
        <v>670</v>
      </c>
      <c r="C15" s="8" t="s">
        <v>671</v>
      </c>
      <c r="D15" s="8" t="s">
        <v>672</v>
      </c>
      <c r="E15" s="9" t="s">
        <v>673</v>
      </c>
      <c r="F15" s="9" t="n">
        <v>6</v>
      </c>
      <c r="G15" s="8" t="s">
        <v>363</v>
      </c>
    </row>
    <row r="16" customFormat="false" ht="15" hidden="false" customHeight="false" outlineLevel="0" collapsed="false">
      <c r="A16" s="7" t="s">
        <v>674</v>
      </c>
      <c r="B16" s="8" t="s">
        <v>675</v>
      </c>
      <c r="C16" s="8" t="s">
        <v>652</v>
      </c>
      <c r="D16" s="8" t="s">
        <v>676</v>
      </c>
      <c r="E16" s="9" t="n">
        <v>3100</v>
      </c>
      <c r="F16" s="9" t="n">
        <v>6</v>
      </c>
      <c r="G16" s="8" t="s">
        <v>450</v>
      </c>
    </row>
    <row r="17" customFormat="false" ht="15" hidden="false" customHeight="false" outlineLevel="0" collapsed="false">
      <c r="A17" s="7" t="s">
        <v>677</v>
      </c>
      <c r="B17" s="8" t="s">
        <v>678</v>
      </c>
      <c r="C17" s="8" t="s">
        <v>652</v>
      </c>
      <c r="D17" s="8" t="s">
        <v>679</v>
      </c>
      <c r="E17" s="9" t="s">
        <v>71</v>
      </c>
      <c r="F17" s="9" t="n">
        <v>6</v>
      </c>
      <c r="G17" s="8" t="s">
        <v>363</v>
      </c>
    </row>
    <row r="18" customFormat="false" ht="15" hidden="false" customHeight="false" outlineLevel="0" collapsed="false">
      <c r="A18" s="7" t="s">
        <v>680</v>
      </c>
      <c r="B18" s="8" t="s">
        <v>681</v>
      </c>
      <c r="C18" s="8" t="s">
        <v>682</v>
      </c>
      <c r="D18" s="8" t="s">
        <v>683</v>
      </c>
      <c r="E18" s="9" t="s">
        <v>71</v>
      </c>
      <c r="F18" s="9" t="n">
        <v>6</v>
      </c>
      <c r="G18" s="8" t="s">
        <v>363</v>
      </c>
    </row>
    <row r="19" customFormat="false" ht="15" hidden="false" customHeight="false" outlineLevel="0" collapsed="false">
      <c r="A19" s="7" t="s">
        <v>684</v>
      </c>
      <c r="B19" s="8" t="s">
        <v>685</v>
      </c>
      <c r="C19" s="8" t="s">
        <v>686</v>
      </c>
      <c r="D19" s="8" t="s">
        <v>687</v>
      </c>
      <c r="E19" s="9" t="s">
        <v>71</v>
      </c>
      <c r="F19" s="9" t="n">
        <v>1</v>
      </c>
      <c r="G19" s="8" t="s">
        <v>688</v>
      </c>
    </row>
    <row r="20" customFormat="false" ht="15" hidden="false" customHeight="false" outlineLevel="0" collapsed="false">
      <c r="A20" s="7" t="s">
        <v>689</v>
      </c>
      <c r="B20" s="8" t="s">
        <v>690</v>
      </c>
      <c r="C20" s="8" t="s">
        <v>691</v>
      </c>
      <c r="D20" s="8" t="s">
        <v>692</v>
      </c>
      <c r="E20" s="9" t="s">
        <v>71</v>
      </c>
      <c r="F20" s="9" t="n">
        <v>1</v>
      </c>
      <c r="G20" s="8" t="s">
        <v>450</v>
      </c>
    </row>
    <row r="21" customFormat="false" ht="15" hidden="false" customHeight="false" outlineLevel="0" collapsed="false">
      <c r="A21" s="7" t="s">
        <v>693</v>
      </c>
      <c r="B21" s="8" t="s">
        <v>315</v>
      </c>
      <c r="C21" s="8" t="s">
        <v>694</v>
      </c>
      <c r="D21" s="8" t="s">
        <v>695</v>
      </c>
      <c r="E21" s="9" t="s">
        <v>71</v>
      </c>
      <c r="F21" s="9" t="n">
        <v>6</v>
      </c>
      <c r="G21" s="8" t="s">
        <v>363</v>
      </c>
    </row>
    <row r="22" customFormat="false" ht="15" hidden="false" customHeight="false" outlineLevel="0" collapsed="false">
      <c r="A22" s="7" t="s">
        <v>696</v>
      </c>
      <c r="B22" s="8" t="s">
        <v>697</v>
      </c>
      <c r="C22" s="8" t="s">
        <v>698</v>
      </c>
      <c r="D22" s="8" t="s">
        <v>633</v>
      </c>
      <c r="E22" s="9" t="s">
        <v>71</v>
      </c>
      <c r="F22" s="9" t="n">
        <v>6</v>
      </c>
      <c r="G22" s="8" t="s">
        <v>649</v>
      </c>
    </row>
    <row r="23" customFormat="false" ht="15" hidden="false" customHeight="false" outlineLevel="0" collapsed="false">
      <c r="A23" s="7" t="s">
        <v>699</v>
      </c>
      <c r="B23" s="8" t="s">
        <v>700</v>
      </c>
      <c r="C23" s="8" t="s">
        <v>701</v>
      </c>
      <c r="D23" s="8" t="s">
        <v>702</v>
      </c>
      <c r="E23" s="9" t="s">
        <v>71</v>
      </c>
      <c r="F23" s="9" t="n">
        <v>6</v>
      </c>
      <c r="G23" s="8" t="s">
        <v>703</v>
      </c>
    </row>
    <row r="25" customFormat="false" ht="15" hidden="false" customHeight="false" outlineLevel="0" collapsed="false">
      <c r="A25" s="18" t="s">
        <v>704</v>
      </c>
    </row>
    <row r="26" customFormat="false" ht="15" hidden="false" customHeight="false" outlineLevel="0" collapsed="false">
      <c r="A26" s="18" t="s">
        <v>705</v>
      </c>
    </row>
    <row r="27" customFormat="false" ht="15" hidden="false" customHeight="false" outlineLevel="0" collapsed="false">
      <c r="A27" s="18" t="s">
        <v>706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2026-09-20T09:54:14Z</dcterms:created>
  <dc:creator>openpyxl</dc:creator>
  <dc:description/>
  <dc:language>en-US</dc:language>
  <cp:lastModifiedBy/>
  <dcterms:modified xsi:type="dcterms:W3CDTF">2026-09-20T09:54:14Z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